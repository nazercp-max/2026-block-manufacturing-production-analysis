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-105" yWindow="-105" windowWidth="20595" windowHeight="9570" firstSheet="3" activeTab="9"/>
  </bookViews>
  <sheets>
    <sheet name="January-26" sheetId="1" r:id="rId1"/>
    <sheet name="February-26" sheetId="6" r:id="rId2"/>
    <sheet name="March-26" sheetId="7" r:id="rId3"/>
    <sheet name="April-26" sheetId="8" r:id="rId4"/>
    <sheet name="May-26" sheetId="9" r:id="rId5"/>
    <sheet name="June-26" sheetId="10" r:id="rId6"/>
    <sheet name="July-26" sheetId="12" r:id="rId7"/>
    <sheet name="Year-2026" sheetId="5" r:id="rId8"/>
    <sheet name="Dashboard" sheetId="19" r:id="rId9"/>
    <sheet name="Master Data" sheetId="20" r:id="rId10"/>
    <sheet name="Portfolio Dashboard" sheetId="21" r:id="rId11"/>
  </sheets>
  <calcPr calcId="144525"/>
  <pivotCaches>
    <pivotCache cacheId="0" r:id="rId12"/>
  </pivotCaches>
</workbook>
</file>

<file path=xl/calcChain.xml><?xml version="1.0" encoding="utf-8"?>
<calcChain xmlns="http://schemas.openxmlformats.org/spreadsheetml/2006/main">
  <c r="J5" i="21" l="1"/>
  <c r="G5" i="21"/>
  <c r="D5" i="21"/>
  <c r="A5" i="21"/>
  <c r="V64" i="20" l="1"/>
  <c r="V65" i="20"/>
  <c r="V66" i="20"/>
  <c r="V67" i="20"/>
  <c r="V68" i="20"/>
  <c r="V69" i="20"/>
  <c r="V63" i="20"/>
  <c r="U69" i="20"/>
  <c r="U68" i="20"/>
  <c r="U67" i="20"/>
  <c r="U66" i="20"/>
  <c r="U65" i="20"/>
  <c r="U64" i="20"/>
  <c r="U63" i="20"/>
  <c r="T64" i="20"/>
  <c r="T65" i="20"/>
  <c r="T66" i="20"/>
  <c r="T67" i="20"/>
  <c r="T68" i="20"/>
  <c r="T69" i="20"/>
  <c r="T63" i="20"/>
  <c r="T54" i="20"/>
  <c r="T43" i="20"/>
  <c r="T44" i="20"/>
  <c r="T45" i="20"/>
  <c r="T46" i="20"/>
  <c r="T47" i="20"/>
  <c r="T48" i="20"/>
  <c r="T42" i="20"/>
  <c r="T25" i="20" l="1"/>
  <c r="T26" i="20"/>
  <c r="T27" i="20"/>
  <c r="T28" i="20"/>
  <c r="T29" i="20"/>
  <c r="T30" i="20"/>
  <c r="T31" i="20"/>
  <c r="T24" i="20" l="1"/>
  <c r="T20" i="20"/>
  <c r="T19" i="20"/>
  <c r="T18" i="20"/>
  <c r="T17" i="20"/>
  <c r="T16" i="20"/>
  <c r="T14" i="20"/>
  <c r="T15" i="20"/>
  <c r="T13" i="20"/>
  <c r="T10" i="20"/>
  <c r="T4" i="20"/>
  <c r="T5" i="20"/>
  <c r="T6" i="20"/>
  <c r="T7" i="20"/>
  <c r="T8" i="20"/>
  <c r="T9" i="20"/>
  <c r="T3" i="20"/>
  <c r="Q5" i="20"/>
  <c r="Q3" i="20"/>
  <c r="Q2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183" i="20"/>
  <c r="B183" i="20" s="1"/>
  <c r="L213" i="20"/>
  <c r="L212" i="20"/>
  <c r="L211" i="20"/>
  <c r="L210" i="20"/>
  <c r="L209" i="20"/>
  <c r="L208" i="20"/>
  <c r="L207" i="20"/>
  <c r="L206" i="20"/>
  <c r="L205" i="20"/>
  <c r="L204" i="20"/>
  <c r="L203" i="20"/>
  <c r="L202" i="20"/>
  <c r="L201" i="20"/>
  <c r="L200" i="20"/>
  <c r="L199" i="20"/>
  <c r="L198" i="20"/>
  <c r="L197" i="20"/>
  <c r="L196" i="20"/>
  <c r="L195" i="20"/>
  <c r="L194" i="20"/>
  <c r="L193" i="20"/>
  <c r="L192" i="20"/>
  <c r="L191" i="20"/>
  <c r="L190" i="20"/>
  <c r="L189" i="20"/>
  <c r="L188" i="20"/>
  <c r="L187" i="20"/>
  <c r="L186" i="20"/>
  <c r="L185" i="20"/>
  <c r="L184" i="20"/>
  <c r="L18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53" i="20"/>
  <c r="B153" i="20" s="1"/>
  <c r="L182" i="20"/>
  <c r="L181" i="20"/>
  <c r="L180" i="20"/>
  <c r="L179" i="20"/>
  <c r="L178" i="20"/>
  <c r="L177" i="20"/>
  <c r="L176" i="20"/>
  <c r="L175" i="20"/>
  <c r="L174" i="20"/>
  <c r="L173" i="20"/>
  <c r="L172" i="20"/>
  <c r="L171" i="20"/>
  <c r="L170" i="20"/>
  <c r="L169" i="20"/>
  <c r="L168" i="20"/>
  <c r="L167" i="20"/>
  <c r="L166" i="20"/>
  <c r="L165" i="20"/>
  <c r="L164" i="20"/>
  <c r="L163" i="20"/>
  <c r="L162" i="20"/>
  <c r="L161" i="20"/>
  <c r="L160" i="20"/>
  <c r="L159" i="20"/>
  <c r="L158" i="20"/>
  <c r="L157" i="20"/>
  <c r="L156" i="20"/>
  <c r="L155" i="20"/>
  <c r="L154" i="20"/>
  <c r="L153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22" i="20"/>
  <c r="B122" i="20" s="1"/>
  <c r="L152" i="20"/>
  <c r="L151" i="20"/>
  <c r="L150" i="20"/>
  <c r="L149" i="20"/>
  <c r="L148" i="20"/>
  <c r="L147" i="20"/>
  <c r="L146" i="20"/>
  <c r="L145" i="20"/>
  <c r="L144" i="20"/>
  <c r="L143" i="20"/>
  <c r="L142" i="20"/>
  <c r="L141" i="20"/>
  <c r="L140" i="20"/>
  <c r="L139" i="20"/>
  <c r="L138" i="20"/>
  <c r="L137" i="20"/>
  <c r="L136" i="20"/>
  <c r="L135" i="20"/>
  <c r="L134" i="20"/>
  <c r="L133" i="20"/>
  <c r="L132" i="20"/>
  <c r="L131" i="20"/>
  <c r="L130" i="20"/>
  <c r="L129" i="20"/>
  <c r="L128" i="20"/>
  <c r="L127" i="20"/>
  <c r="L126" i="20"/>
  <c r="L125" i="20"/>
  <c r="L124" i="20"/>
  <c r="L123" i="20"/>
  <c r="L12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92" i="20"/>
  <c r="B92" i="20"/>
  <c r="L121" i="20" l="1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61" i="20"/>
  <c r="B61" i="20" s="1"/>
  <c r="B60" i="20"/>
  <c r="A60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33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2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N11" i="5" l="1"/>
  <c r="N9" i="5" l="1"/>
  <c r="N10" i="5"/>
  <c r="N8" i="5"/>
  <c r="N7" i="5"/>
  <c r="N6" i="5"/>
  <c r="N5" i="5"/>
  <c r="J4" i="5"/>
  <c r="J5" i="5"/>
  <c r="J6" i="5"/>
  <c r="J7" i="5"/>
  <c r="J8" i="5"/>
  <c r="J11" i="5"/>
  <c r="J12" i="5"/>
  <c r="J13" i="5"/>
  <c r="J14" i="5"/>
  <c r="J3" i="5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" i="12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" i="10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" i="6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4" i="9"/>
  <c r="J3" i="9"/>
  <c r="I9" i="5" l="1"/>
  <c r="H9" i="5"/>
  <c r="G9" i="5"/>
  <c r="F9" i="5"/>
  <c r="E9" i="5"/>
  <c r="B8" i="5"/>
  <c r="G52" i="10" l="1"/>
  <c r="E42" i="10"/>
  <c r="E43" i="10"/>
  <c r="E41" i="10"/>
  <c r="E44" i="10"/>
  <c r="I34" i="12" l="1"/>
  <c r="D40" i="12" s="1"/>
  <c r="H34" i="12"/>
  <c r="D46" i="12" s="1"/>
  <c r="E46" i="12" s="1"/>
  <c r="G34" i="12"/>
  <c r="G35" i="12" s="1"/>
  <c r="F34" i="12"/>
  <c r="D39" i="12" s="1"/>
  <c r="E34" i="12"/>
  <c r="D44" i="12" s="1"/>
  <c r="D34" i="12"/>
  <c r="C34" i="12"/>
  <c r="B34" i="12"/>
  <c r="J10" i="5" l="1"/>
  <c r="D41" i="12"/>
  <c r="I41" i="12" s="1"/>
  <c r="J41" i="12" s="1"/>
  <c r="B9" i="5"/>
  <c r="D43" i="12"/>
  <c r="G43" i="12" s="1"/>
  <c r="D9" i="5"/>
  <c r="D42" i="12"/>
  <c r="I42" i="12" s="1"/>
  <c r="J42" i="12" s="1"/>
  <c r="J34" i="12"/>
  <c r="C9" i="5"/>
  <c r="F42" i="12"/>
  <c r="J46" i="12" s="1"/>
  <c r="F44" i="12"/>
  <c r="I44" i="12"/>
  <c r="G44" i="12"/>
  <c r="E44" i="12"/>
  <c r="F40" i="12"/>
  <c r="I40" i="12"/>
  <c r="J40" i="12" s="1"/>
  <c r="G40" i="12"/>
  <c r="E40" i="12"/>
  <c r="G41" i="12"/>
  <c r="F41" i="12"/>
  <c r="C53" i="12"/>
  <c r="I39" i="12"/>
  <c r="G39" i="12"/>
  <c r="E39" i="12"/>
  <c r="F39" i="12"/>
  <c r="B35" i="12"/>
  <c r="D35" i="12"/>
  <c r="F35" i="12"/>
  <c r="J39" i="12" s="1"/>
  <c r="H35" i="12"/>
  <c r="D45" i="12"/>
  <c r="E45" i="12" s="1"/>
  <c r="C35" i="12"/>
  <c r="E35" i="12"/>
  <c r="I35" i="12"/>
  <c r="I8" i="5"/>
  <c r="H8" i="5"/>
  <c r="G8" i="5"/>
  <c r="F8" i="5"/>
  <c r="E8" i="5"/>
  <c r="B7" i="5"/>
  <c r="D44" i="10"/>
  <c r="F44" i="10" s="1"/>
  <c r="D40" i="10"/>
  <c r="I40" i="10" s="1"/>
  <c r="J40" i="10" s="1"/>
  <c r="G35" i="10"/>
  <c r="I34" i="10"/>
  <c r="I35" i="10" s="1"/>
  <c r="H34" i="10"/>
  <c r="D46" i="10" s="1"/>
  <c r="E46" i="10" s="1"/>
  <c r="G34" i="10"/>
  <c r="D45" i="10" s="1"/>
  <c r="E45" i="10" s="1"/>
  <c r="F34" i="10"/>
  <c r="D39" i="10" s="1"/>
  <c r="E34" i="10"/>
  <c r="E35" i="10" s="1"/>
  <c r="D34" i="10"/>
  <c r="D43" i="10" s="1"/>
  <c r="C34" i="10"/>
  <c r="D42" i="10" s="1"/>
  <c r="F42" i="10" s="1"/>
  <c r="J46" i="10" s="1"/>
  <c r="B34" i="10"/>
  <c r="D41" i="10" s="1"/>
  <c r="J35" i="12" l="1"/>
  <c r="E41" i="12"/>
  <c r="I43" i="12"/>
  <c r="J43" i="12" s="1"/>
  <c r="G42" i="12"/>
  <c r="G47" i="12" s="1"/>
  <c r="J9" i="5"/>
  <c r="E43" i="12"/>
  <c r="F43" i="12"/>
  <c r="E42" i="12"/>
  <c r="H42" i="12" s="1"/>
  <c r="I47" i="12"/>
  <c r="H40" i="12"/>
  <c r="J44" i="12"/>
  <c r="H44" i="12"/>
  <c r="K35" i="12"/>
  <c r="D53" i="12"/>
  <c r="E53" i="12" s="1"/>
  <c r="F52" i="12"/>
  <c r="G52" i="12" s="1"/>
  <c r="J45" i="12"/>
  <c r="F53" i="12"/>
  <c r="G53" i="12" s="1"/>
  <c r="H53" i="12"/>
  <c r="I53" i="12" s="1"/>
  <c r="H39" i="12"/>
  <c r="C52" i="12"/>
  <c r="H52" i="12"/>
  <c r="I52" i="12" s="1"/>
  <c r="H41" i="12"/>
  <c r="C35" i="10"/>
  <c r="C8" i="5"/>
  <c r="D8" i="5"/>
  <c r="I41" i="10"/>
  <c r="J41" i="10" s="1"/>
  <c r="G41" i="10"/>
  <c r="C52" i="10"/>
  <c r="F41" i="10"/>
  <c r="I43" i="10"/>
  <c r="G43" i="10"/>
  <c r="F43" i="10"/>
  <c r="C53" i="10"/>
  <c r="G39" i="10"/>
  <c r="F39" i="10"/>
  <c r="I39" i="10"/>
  <c r="E39" i="10"/>
  <c r="F40" i="10"/>
  <c r="B35" i="10"/>
  <c r="D35" i="10"/>
  <c r="F35" i="10"/>
  <c r="H35" i="10"/>
  <c r="E40" i="10"/>
  <c r="G40" i="10"/>
  <c r="H40" i="10" s="1"/>
  <c r="G42" i="10"/>
  <c r="I42" i="10"/>
  <c r="J42" i="10" s="1"/>
  <c r="G44" i="10"/>
  <c r="I44" i="10"/>
  <c r="I54" i="1"/>
  <c r="E47" i="12" l="1"/>
  <c r="D52" i="12"/>
  <c r="E52" i="12" s="1"/>
  <c r="H43" i="12"/>
  <c r="F47" i="12"/>
  <c r="H42" i="10"/>
  <c r="J44" i="10"/>
  <c r="I47" i="10"/>
  <c r="H53" i="10"/>
  <c r="I53" i="10" s="1"/>
  <c r="G47" i="10"/>
  <c r="H39" i="10"/>
  <c r="H43" i="10"/>
  <c r="D52" i="10"/>
  <c r="E52" i="10" s="1"/>
  <c r="H44" i="10"/>
  <c r="J39" i="10"/>
  <c r="K35" i="10"/>
  <c r="D53" i="10"/>
  <c r="E53" i="10" s="1"/>
  <c r="E47" i="10"/>
  <c r="F47" i="10"/>
  <c r="F53" i="10"/>
  <c r="G53" i="10" s="1"/>
  <c r="J43" i="10"/>
  <c r="H52" i="10"/>
  <c r="I52" i="10" s="1"/>
  <c r="H41" i="10"/>
  <c r="F52" i="10"/>
  <c r="J45" i="10"/>
  <c r="I7" i="5"/>
  <c r="H7" i="5"/>
  <c r="G7" i="5"/>
  <c r="E7" i="5"/>
  <c r="D44" i="9" l="1"/>
  <c r="F44" i="9" s="1"/>
  <c r="D40" i="9"/>
  <c r="F40" i="9" s="1"/>
  <c r="G35" i="9"/>
  <c r="I34" i="9"/>
  <c r="I35" i="9" s="1"/>
  <c r="H34" i="9"/>
  <c r="D46" i="9" s="1"/>
  <c r="E46" i="9" s="1"/>
  <c r="G34" i="9"/>
  <c r="D45" i="9" s="1"/>
  <c r="E45" i="9" s="1"/>
  <c r="F34" i="9"/>
  <c r="E34" i="9"/>
  <c r="E35" i="9" s="1"/>
  <c r="D34" i="9"/>
  <c r="C34" i="9"/>
  <c r="B34" i="9"/>
  <c r="E6" i="5"/>
  <c r="G6" i="5"/>
  <c r="H6" i="5"/>
  <c r="I6" i="5"/>
  <c r="B5" i="5"/>
  <c r="D39" i="9" l="1"/>
  <c r="C53" i="9" s="1"/>
  <c r="F7" i="5"/>
  <c r="D41" i="9"/>
  <c r="F41" i="9" s="1"/>
  <c r="D43" i="9"/>
  <c r="G43" i="9" s="1"/>
  <c r="D7" i="5"/>
  <c r="D42" i="9"/>
  <c r="C7" i="5"/>
  <c r="C35" i="9"/>
  <c r="G41" i="9"/>
  <c r="I39" i="9"/>
  <c r="F39" i="9"/>
  <c r="B35" i="9"/>
  <c r="D35" i="9"/>
  <c r="F35" i="9"/>
  <c r="H35" i="9"/>
  <c r="E40" i="9"/>
  <c r="G40" i="9"/>
  <c r="I40" i="9"/>
  <c r="J40" i="9" s="1"/>
  <c r="E44" i="9"/>
  <c r="G44" i="9"/>
  <c r="I44" i="9"/>
  <c r="J44" i="9" s="1"/>
  <c r="J44" i="8"/>
  <c r="J40" i="8"/>
  <c r="J40" i="7"/>
  <c r="J39" i="7"/>
  <c r="J40" i="6"/>
  <c r="J44" i="6"/>
  <c r="J39" i="6"/>
  <c r="J40" i="1"/>
  <c r="J44" i="1"/>
  <c r="J41" i="1"/>
  <c r="J42" i="1"/>
  <c r="J43" i="1"/>
  <c r="J39" i="1"/>
  <c r="I34" i="8"/>
  <c r="D40" i="8" s="1"/>
  <c r="H34" i="8"/>
  <c r="H35" i="8" s="1"/>
  <c r="G34" i="8"/>
  <c r="D45" i="8" s="1"/>
  <c r="E45" i="8" s="1"/>
  <c r="F34" i="8"/>
  <c r="F35" i="8" s="1"/>
  <c r="E34" i="8"/>
  <c r="D44" i="8" s="1"/>
  <c r="D34" i="8"/>
  <c r="C34" i="8"/>
  <c r="B34" i="8"/>
  <c r="I43" i="9" l="1"/>
  <c r="J43" i="9" s="1"/>
  <c r="I41" i="9"/>
  <c r="J41" i="9" s="1"/>
  <c r="G39" i="9"/>
  <c r="H53" i="9" s="1"/>
  <c r="I53" i="9" s="1"/>
  <c r="E39" i="9"/>
  <c r="F42" i="9"/>
  <c r="J46" i="9" s="1"/>
  <c r="C52" i="9"/>
  <c r="G42" i="9"/>
  <c r="H52" i="9" s="1"/>
  <c r="I52" i="9" s="1"/>
  <c r="E43" i="9"/>
  <c r="E41" i="9"/>
  <c r="F43" i="9"/>
  <c r="I42" i="9"/>
  <c r="J42" i="9" s="1"/>
  <c r="E42" i="9"/>
  <c r="D39" i="8"/>
  <c r="C53" i="8" s="1"/>
  <c r="F6" i="5"/>
  <c r="H44" i="9"/>
  <c r="H40" i="9"/>
  <c r="F53" i="9"/>
  <c r="G53" i="9" s="1"/>
  <c r="H43" i="9"/>
  <c r="J45" i="9"/>
  <c r="H41" i="9"/>
  <c r="J39" i="9"/>
  <c r="K35" i="9"/>
  <c r="H39" i="9"/>
  <c r="D53" i="9"/>
  <c r="E53" i="9" s="1"/>
  <c r="D35" i="8"/>
  <c r="D6" i="5"/>
  <c r="D42" i="8"/>
  <c r="F42" i="8" s="1"/>
  <c r="J46" i="8" s="1"/>
  <c r="C6" i="5"/>
  <c r="B35" i="8"/>
  <c r="B6" i="5"/>
  <c r="F44" i="8"/>
  <c r="I44" i="8"/>
  <c r="G44" i="8"/>
  <c r="H44" i="8" s="1"/>
  <c r="E44" i="8"/>
  <c r="I40" i="8"/>
  <c r="G40" i="8"/>
  <c r="E40" i="8"/>
  <c r="F40" i="8"/>
  <c r="G39" i="8"/>
  <c r="C35" i="8"/>
  <c r="E35" i="8"/>
  <c r="G35" i="8"/>
  <c r="I35" i="8"/>
  <c r="D41" i="8"/>
  <c r="D43" i="8"/>
  <c r="D46" i="8"/>
  <c r="E46" i="8" s="1"/>
  <c r="F52" i="9" l="1"/>
  <c r="G52" i="9" s="1"/>
  <c r="F47" i="9"/>
  <c r="G47" i="9"/>
  <c r="H42" i="9"/>
  <c r="I47" i="9"/>
  <c r="D52" i="9"/>
  <c r="E52" i="9" s="1"/>
  <c r="E47" i="9"/>
  <c r="F39" i="8"/>
  <c r="H39" i="8" s="1"/>
  <c r="E39" i="8"/>
  <c r="I39" i="8"/>
  <c r="J39" i="8" s="1"/>
  <c r="E42" i="8"/>
  <c r="I42" i="8"/>
  <c r="J42" i="8" s="1"/>
  <c r="G42" i="8"/>
  <c r="H42" i="8" s="1"/>
  <c r="I41" i="8"/>
  <c r="J41" i="8" s="1"/>
  <c r="G41" i="8"/>
  <c r="E41" i="8"/>
  <c r="C52" i="8"/>
  <c r="F41" i="8"/>
  <c r="J45" i="8" s="1"/>
  <c r="H53" i="8"/>
  <c r="I53" i="8" s="1"/>
  <c r="K35" i="8"/>
  <c r="I43" i="8"/>
  <c r="G43" i="8"/>
  <c r="E43" i="8"/>
  <c r="F43" i="8"/>
  <c r="F47" i="8" s="1"/>
  <c r="D53" i="8"/>
  <c r="E53" i="8" s="1"/>
  <c r="H40" i="8"/>
  <c r="I5" i="5"/>
  <c r="H5" i="5"/>
  <c r="G5" i="5"/>
  <c r="F5" i="5"/>
  <c r="I34" i="7"/>
  <c r="I35" i="7" s="1"/>
  <c r="H34" i="7"/>
  <c r="H35" i="7" s="1"/>
  <c r="G34" i="7"/>
  <c r="D45" i="7" s="1"/>
  <c r="E45" i="7" s="1"/>
  <c r="F34" i="7"/>
  <c r="D39" i="7" s="1"/>
  <c r="E34" i="7"/>
  <c r="D44" i="7" s="1"/>
  <c r="D34" i="7"/>
  <c r="D35" i="7" s="1"/>
  <c r="C34" i="7"/>
  <c r="D42" i="7" s="1"/>
  <c r="B34" i="7"/>
  <c r="B35" i="7" s="1"/>
  <c r="J43" i="8" l="1"/>
  <c r="F53" i="8"/>
  <c r="G53" i="8" s="1"/>
  <c r="E47" i="8"/>
  <c r="E5" i="5"/>
  <c r="D5" i="5"/>
  <c r="C5" i="5"/>
  <c r="D52" i="8"/>
  <c r="E52" i="8" s="1"/>
  <c r="H43" i="8"/>
  <c r="F52" i="8"/>
  <c r="G52" i="8" s="1"/>
  <c r="I47" i="8"/>
  <c r="G47" i="8"/>
  <c r="H52" i="8"/>
  <c r="I52" i="8" s="1"/>
  <c r="H41" i="8"/>
  <c r="C35" i="7"/>
  <c r="G35" i="7"/>
  <c r="D40" i="7"/>
  <c r="I40" i="7" s="1"/>
  <c r="E35" i="7"/>
  <c r="F42" i="7"/>
  <c r="I42" i="7"/>
  <c r="G42" i="7"/>
  <c r="E42" i="7"/>
  <c r="F44" i="7"/>
  <c r="I44" i="7"/>
  <c r="J44" i="7" s="1"/>
  <c r="G44" i="7"/>
  <c r="E44" i="7"/>
  <c r="F39" i="7"/>
  <c r="I39" i="7"/>
  <c r="G39" i="7"/>
  <c r="E39" i="7"/>
  <c r="D41" i="7"/>
  <c r="D43" i="7"/>
  <c r="D46" i="7"/>
  <c r="E46" i="7" s="1"/>
  <c r="F35" i="7"/>
  <c r="E40" i="7"/>
  <c r="I4" i="5"/>
  <c r="H4" i="5"/>
  <c r="G4" i="5"/>
  <c r="F4" i="5"/>
  <c r="E4" i="5"/>
  <c r="I34" i="6"/>
  <c r="D40" i="6" s="1"/>
  <c r="H34" i="6"/>
  <c r="H35" i="6" s="1"/>
  <c r="G34" i="6"/>
  <c r="D45" i="6" s="1"/>
  <c r="E45" i="6" s="1"/>
  <c r="F34" i="6"/>
  <c r="D39" i="6" s="1"/>
  <c r="E34" i="6"/>
  <c r="D44" i="6" s="1"/>
  <c r="D34" i="6"/>
  <c r="D35" i="6" s="1"/>
  <c r="C34" i="6"/>
  <c r="D42" i="6" s="1"/>
  <c r="B34" i="6"/>
  <c r="B35" i="6" s="1"/>
  <c r="I3" i="5"/>
  <c r="H3" i="5"/>
  <c r="G3" i="5"/>
  <c r="F3" i="5"/>
  <c r="E3" i="5"/>
  <c r="D3" i="5"/>
  <c r="C3" i="5"/>
  <c r="B3" i="5"/>
  <c r="I15" i="5"/>
  <c r="I16" i="5" s="1"/>
  <c r="H15" i="5"/>
  <c r="F35" i="5" s="1"/>
  <c r="G35" i="5" s="1"/>
  <c r="F15" i="5" l="1"/>
  <c r="F16" i="5" s="1"/>
  <c r="B23" i="5" s="1"/>
  <c r="H44" i="7"/>
  <c r="H42" i="7"/>
  <c r="J42" i="7"/>
  <c r="G40" i="7"/>
  <c r="H40" i="7" s="1"/>
  <c r="F40" i="7"/>
  <c r="C53" i="7"/>
  <c r="I43" i="7"/>
  <c r="J43" i="7" s="1"/>
  <c r="G43" i="7"/>
  <c r="E43" i="7"/>
  <c r="F43" i="7"/>
  <c r="D53" i="7"/>
  <c r="E53" i="7" s="1"/>
  <c r="I41" i="7"/>
  <c r="J41" i="7" s="1"/>
  <c r="G41" i="7"/>
  <c r="E41" i="7"/>
  <c r="C52" i="7"/>
  <c r="F41" i="7"/>
  <c r="F52" i="7" s="1"/>
  <c r="G52" i="7" s="1"/>
  <c r="H39" i="7"/>
  <c r="H53" i="7"/>
  <c r="I53" i="7" s="1"/>
  <c r="F53" i="7"/>
  <c r="G53" i="7" s="1"/>
  <c r="K35" i="7"/>
  <c r="B4" i="5"/>
  <c r="D4" i="5"/>
  <c r="D15" i="5" s="1"/>
  <c r="C4" i="5"/>
  <c r="C15" i="5" s="1"/>
  <c r="X5" i="5" s="1"/>
  <c r="G15" i="5"/>
  <c r="G16" i="5" s="1"/>
  <c r="E15" i="5"/>
  <c r="B15" i="5"/>
  <c r="C53" i="6"/>
  <c r="F39" i="6"/>
  <c r="I39" i="6"/>
  <c r="G39" i="6"/>
  <c r="E39" i="6"/>
  <c r="F42" i="6"/>
  <c r="I42" i="6"/>
  <c r="G42" i="6"/>
  <c r="E42" i="6"/>
  <c r="F44" i="6"/>
  <c r="I44" i="6"/>
  <c r="G44" i="6"/>
  <c r="E44" i="6"/>
  <c r="I40" i="6"/>
  <c r="G40" i="6"/>
  <c r="E40" i="6"/>
  <c r="F40" i="6"/>
  <c r="C35" i="6"/>
  <c r="E35" i="6"/>
  <c r="G35" i="6"/>
  <c r="I35" i="6"/>
  <c r="D41" i="6"/>
  <c r="D43" i="6"/>
  <c r="D46" i="6"/>
  <c r="E46" i="6" s="1"/>
  <c r="F35" i="6"/>
  <c r="H16" i="5"/>
  <c r="B34" i="5"/>
  <c r="C34" i="5" s="1"/>
  <c r="D36" i="5"/>
  <c r="E36" i="5" s="1"/>
  <c r="I17" i="5"/>
  <c r="B36" i="5"/>
  <c r="F36" i="5"/>
  <c r="G36" i="5" s="1"/>
  <c r="H17" i="5"/>
  <c r="B35" i="5"/>
  <c r="D35" i="5"/>
  <c r="E35" i="5" s="1"/>
  <c r="F34" i="5" l="1"/>
  <c r="G34" i="5" s="1"/>
  <c r="A23" i="5"/>
  <c r="D34" i="5"/>
  <c r="E34" i="5" s="1"/>
  <c r="F17" i="5"/>
  <c r="C23" i="5" s="1"/>
  <c r="D23" i="5" s="1"/>
  <c r="X7" i="5"/>
  <c r="F33" i="5"/>
  <c r="G33" i="5" s="1"/>
  <c r="X8" i="5"/>
  <c r="B17" i="5"/>
  <c r="X6" i="5"/>
  <c r="D17" i="5"/>
  <c r="X4" i="5"/>
  <c r="F31" i="5"/>
  <c r="G31" i="5" s="1"/>
  <c r="J15" i="5"/>
  <c r="A8" i="19" s="1"/>
  <c r="G8" i="19" s="1"/>
  <c r="G17" i="5"/>
  <c r="B33" i="5"/>
  <c r="C33" i="5" s="1"/>
  <c r="E16" i="5"/>
  <c r="D33" i="5"/>
  <c r="E33" i="5" s="1"/>
  <c r="E17" i="5"/>
  <c r="B30" i="5"/>
  <c r="C30" i="5" s="1"/>
  <c r="D30" i="5"/>
  <c r="E30" i="5" s="1"/>
  <c r="D52" i="7"/>
  <c r="E52" i="7" s="1"/>
  <c r="F47" i="7"/>
  <c r="E47" i="7"/>
  <c r="H43" i="7"/>
  <c r="G47" i="7"/>
  <c r="H52" i="7"/>
  <c r="I52" i="7" s="1"/>
  <c r="H41" i="7"/>
  <c r="I47" i="7"/>
  <c r="B16" i="5"/>
  <c r="F30" i="5"/>
  <c r="G30" i="5" s="1"/>
  <c r="F32" i="5"/>
  <c r="G32" i="5" s="1"/>
  <c r="C17" i="5"/>
  <c r="B31" i="5"/>
  <c r="C16" i="5"/>
  <c r="D32" i="5"/>
  <c r="E32" i="5" s="1"/>
  <c r="A27" i="5"/>
  <c r="B32" i="5"/>
  <c r="C32" i="5" s="1"/>
  <c r="D16" i="5"/>
  <c r="D31" i="5"/>
  <c r="E31" i="5" s="1"/>
  <c r="J42" i="6"/>
  <c r="H40" i="6"/>
  <c r="D53" i="6"/>
  <c r="E53" i="6" s="1"/>
  <c r="I43" i="6"/>
  <c r="J43" i="6" s="1"/>
  <c r="G43" i="6"/>
  <c r="E43" i="6"/>
  <c r="F43" i="6"/>
  <c r="I41" i="6"/>
  <c r="J41" i="6" s="1"/>
  <c r="G41" i="6"/>
  <c r="E41" i="6"/>
  <c r="D52" i="6" s="1"/>
  <c r="E52" i="6" s="1"/>
  <c r="C52" i="6"/>
  <c r="F41" i="6"/>
  <c r="H44" i="6"/>
  <c r="H42" i="6"/>
  <c r="K35" i="6"/>
  <c r="H39" i="6"/>
  <c r="H53" i="6"/>
  <c r="I53" i="6" s="1"/>
  <c r="F53" i="6"/>
  <c r="G53" i="6" s="1"/>
  <c r="H34" i="5"/>
  <c r="H35" i="5"/>
  <c r="C35" i="5"/>
  <c r="C36" i="5"/>
  <c r="H36" i="5"/>
  <c r="H33" i="5" l="1"/>
  <c r="J16" i="5"/>
  <c r="C27" i="5"/>
  <c r="J17" i="5"/>
  <c r="B37" i="5"/>
  <c r="H30" i="5"/>
  <c r="H31" i="5"/>
  <c r="C31" i="5"/>
  <c r="C37" i="5" s="1"/>
  <c r="E37" i="5"/>
  <c r="F37" i="5"/>
  <c r="G37" i="5"/>
  <c r="B27" i="5"/>
  <c r="D37" i="5"/>
  <c r="H32" i="5"/>
  <c r="G47" i="6"/>
  <c r="F52" i="6"/>
  <c r="G52" i="6" s="1"/>
  <c r="F47" i="6"/>
  <c r="I47" i="6"/>
  <c r="H52" i="6"/>
  <c r="I52" i="6" s="1"/>
  <c r="H41" i="6"/>
  <c r="H43" i="6"/>
  <c r="E47" i="6"/>
  <c r="D27" i="5" l="1"/>
  <c r="H37" i="5"/>
  <c r="I34" i="1" l="1"/>
  <c r="D40" i="1" l="1"/>
  <c r="E40" i="1" s="1"/>
  <c r="I35" i="1"/>
  <c r="B34" i="1"/>
  <c r="B35" i="1" s="1"/>
  <c r="I40" i="1" l="1"/>
  <c r="D41" i="1"/>
  <c r="F40" i="1"/>
  <c r="G40" i="1"/>
  <c r="H34" i="1"/>
  <c r="H35" i="1" s="1"/>
  <c r="G34" i="1"/>
  <c r="G35" i="1" s="1"/>
  <c r="F34" i="1"/>
  <c r="F35" i="1" s="1"/>
  <c r="E34" i="1"/>
  <c r="E35" i="1" s="1"/>
  <c r="D34" i="1"/>
  <c r="D35" i="1" s="1"/>
  <c r="C34" i="1"/>
  <c r="C35" i="1" s="1"/>
  <c r="G41" i="1" l="1"/>
  <c r="E41" i="1"/>
  <c r="F41" i="1"/>
  <c r="H40" i="1"/>
  <c r="I41" i="1"/>
  <c r="D43" i="1"/>
  <c r="D39" i="1"/>
  <c r="D46" i="1"/>
  <c r="E46" i="1" s="1"/>
  <c r="D42" i="1"/>
  <c r="D44" i="1"/>
  <c r="E44" i="1" s="1"/>
  <c r="D45" i="1"/>
  <c r="E45" i="1" s="1"/>
  <c r="G43" i="1" l="1"/>
  <c r="E43" i="1"/>
  <c r="F43" i="1"/>
  <c r="F42" i="1"/>
  <c r="G42" i="1"/>
  <c r="E42" i="1"/>
  <c r="E39" i="1"/>
  <c r="F39" i="1"/>
  <c r="G39" i="1"/>
  <c r="C53" i="1"/>
  <c r="H41" i="1"/>
  <c r="G44" i="1"/>
  <c r="I44" i="1"/>
  <c r="I42" i="1"/>
  <c r="I43" i="1"/>
  <c r="C52" i="1"/>
  <c r="K35" i="1"/>
  <c r="F44" i="1"/>
  <c r="I39" i="1"/>
  <c r="I47" i="1" l="1"/>
  <c r="F52" i="1"/>
  <c r="G52" i="1" s="1"/>
  <c r="H42" i="1"/>
  <c r="G47" i="1"/>
  <c r="H53" i="1"/>
  <c r="I53" i="1" s="1"/>
  <c r="F47" i="1"/>
  <c r="F53" i="1"/>
  <c r="G53" i="1" s="1"/>
  <c r="H43" i="1"/>
  <c r="H44" i="1"/>
  <c r="E47" i="1"/>
  <c r="D53" i="1"/>
  <c r="E53" i="1" s="1"/>
  <c r="H52" i="1"/>
  <c r="I52" i="1" s="1"/>
  <c r="D52" i="1"/>
  <c r="E52" i="1" s="1"/>
  <c r="H39" i="1"/>
</calcChain>
</file>

<file path=xl/sharedStrings.xml><?xml version="1.0" encoding="utf-8"?>
<sst xmlns="http://schemas.openxmlformats.org/spreadsheetml/2006/main" count="527" uniqueCount="132">
  <si>
    <t>INS 8''</t>
  </si>
  <si>
    <t>HORDI 8''</t>
  </si>
  <si>
    <t>HORDI10''</t>
  </si>
  <si>
    <t>INS 30 CM</t>
  </si>
  <si>
    <t>TOTAL</t>
  </si>
  <si>
    <t>REMARKS</t>
  </si>
  <si>
    <t>Friday</t>
  </si>
  <si>
    <t>CHB30</t>
  </si>
  <si>
    <t>Item</t>
  </si>
  <si>
    <t>T Qnty</t>
  </si>
  <si>
    <t>Cement</t>
  </si>
  <si>
    <t>Gravel</t>
  </si>
  <si>
    <t>Sand</t>
  </si>
  <si>
    <t>T weigt</t>
  </si>
  <si>
    <t>INS</t>
  </si>
  <si>
    <t>Q Mtr</t>
  </si>
  <si>
    <t>Price/M3</t>
  </si>
  <si>
    <t>INS 30</t>
  </si>
  <si>
    <t>4"</t>
  </si>
  <si>
    <t>6"</t>
  </si>
  <si>
    <t>8"</t>
  </si>
  <si>
    <t>Hordi8"</t>
  </si>
  <si>
    <t>Hordi10"</t>
  </si>
  <si>
    <t xml:space="preserve">CHB </t>
  </si>
  <si>
    <t>T. QNT</t>
  </si>
  <si>
    <t>CEMENT</t>
  </si>
  <si>
    <t>GRAVEL</t>
  </si>
  <si>
    <t>SAND</t>
  </si>
  <si>
    <t>PRICE</t>
  </si>
  <si>
    <t>ITEM</t>
  </si>
  <si>
    <t>DAILY PRODUCTION 2026</t>
  </si>
  <si>
    <t>MONTH OF JANUARY</t>
  </si>
  <si>
    <t>Month</t>
  </si>
  <si>
    <t>CHB 4''(10)</t>
  </si>
  <si>
    <t>Hordi 8''</t>
  </si>
  <si>
    <t>INS 8''(20)</t>
  </si>
  <si>
    <t>Hordi 10''</t>
  </si>
  <si>
    <t>CHB 30</t>
  </si>
  <si>
    <t>INS30 CM</t>
  </si>
  <si>
    <t xml:space="preserve">Monthly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</si>
  <si>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</si>
  <si>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</si>
  <si>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</si>
  <si>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</si>
  <si>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</si>
  <si>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</si>
  <si>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</si>
  <si>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</si>
  <si>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</si>
  <si>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Octoer</t>
  </si>
  <si>
    <t>November</t>
  </si>
  <si>
    <t>December</t>
  </si>
  <si>
    <t>Total qnty.</t>
  </si>
  <si>
    <t>Total value</t>
  </si>
  <si>
    <t>Insulated B</t>
  </si>
  <si>
    <t>Total Qnty</t>
  </si>
  <si>
    <t>Total price</t>
  </si>
  <si>
    <t>Avarage/ Unit</t>
  </si>
  <si>
    <t>Total M3</t>
  </si>
  <si>
    <t>Avarage/Unit</t>
  </si>
  <si>
    <t>M3</t>
  </si>
  <si>
    <t>Ton</t>
  </si>
  <si>
    <t>Total Wt in Kg</t>
  </si>
  <si>
    <t>CHB 4(10)</t>
  </si>
  <si>
    <t>CHB6(15)</t>
  </si>
  <si>
    <t>CHB8(20)</t>
  </si>
  <si>
    <t>Totals</t>
  </si>
  <si>
    <t>F.Day</t>
  </si>
  <si>
    <t>MONTH OF FEBRUARY</t>
  </si>
  <si>
    <t>MONTH OF MARCH</t>
  </si>
  <si>
    <t>Rain</t>
  </si>
  <si>
    <t>Date</t>
  </si>
  <si>
    <t>MONTH OF APRIL</t>
  </si>
  <si>
    <t>Off</t>
  </si>
  <si>
    <t>Eid</t>
  </si>
  <si>
    <t>MONTH OF MAY</t>
  </si>
  <si>
    <t>Day</t>
  </si>
  <si>
    <t>Total M3.</t>
  </si>
  <si>
    <t>Total Matereal Cost</t>
  </si>
  <si>
    <t xml:space="preserve"> Date</t>
  </si>
  <si>
    <t>MONTH OF JUNE</t>
  </si>
  <si>
    <t>MONTH OF JULY</t>
  </si>
  <si>
    <t>TOTAL PRODUCTION OF YEAR 2026</t>
  </si>
  <si>
    <t>Total Production</t>
  </si>
  <si>
    <t>Jan</t>
  </si>
  <si>
    <t>Feb</t>
  </si>
  <si>
    <t>Mar</t>
  </si>
  <si>
    <t>Apr</t>
  </si>
  <si>
    <t>Jun</t>
  </si>
  <si>
    <t>Jul</t>
  </si>
  <si>
    <t>Product</t>
  </si>
  <si>
    <t>CHB 8''(20)</t>
  </si>
  <si>
    <t>Hordi 8"</t>
  </si>
  <si>
    <t>CHB 6''(15)</t>
  </si>
  <si>
    <t>Insight: CHB 8"(20) is the highest-produced product during 2026, followed by CHB 6"(15). INS 8"(20) and Hordi 8" contribute a smaller share of total production.</t>
  </si>
  <si>
    <t>Note: Data is current through 21 July 2026. August–December are future reporting periods and will be updated as production data becomes available.</t>
  </si>
  <si>
    <t>2026 PRODUCTION DASHBOARD</t>
  </si>
  <si>
    <t>Best Month</t>
  </si>
  <si>
    <t>Average Monthly Production</t>
  </si>
  <si>
    <t>Top Product</t>
  </si>
  <si>
    <t>Note: Data is current through July 2026. Production figures will be updated as additional monthly data becomes available.</t>
  </si>
  <si>
    <t>Total</t>
  </si>
  <si>
    <t>Remarks</t>
  </si>
  <si>
    <t>CHB 4"</t>
  </si>
  <si>
    <t>CHB 6"</t>
  </si>
  <si>
    <t>CHB 8"</t>
  </si>
  <si>
    <t>HORDI 8"</t>
  </si>
  <si>
    <t>INS 8"</t>
  </si>
  <si>
    <t>HORDI 10"</t>
  </si>
  <si>
    <t>Production Days</t>
  </si>
  <si>
    <t>Zero-Production Days</t>
  </si>
  <si>
    <t>Average Production / Production Day</t>
  </si>
  <si>
    <t>Total Quantity</t>
  </si>
  <si>
    <t>Contribution %</t>
  </si>
  <si>
    <t>Monday</t>
  </si>
  <si>
    <t>Tuesday</t>
  </si>
  <si>
    <t>Wednesday</t>
  </si>
  <si>
    <t>Thursday</t>
  </si>
  <si>
    <t>Saturday</t>
  </si>
  <si>
    <t>Sunday</t>
  </si>
  <si>
    <t>KPI</t>
  </si>
  <si>
    <t>Value</t>
  </si>
  <si>
    <t>Total Days</t>
  </si>
  <si>
    <t>Production Day %</t>
  </si>
  <si>
    <t>Zero-Production Days %</t>
  </si>
  <si>
    <t>Status</t>
  </si>
  <si>
    <t>Days</t>
  </si>
  <si>
    <t>Avg. Production / Day</t>
  </si>
  <si>
    <t xml:space="preserve">Average </t>
  </si>
  <si>
    <t xml:space="preserve"> </t>
  </si>
  <si>
    <t>2026 PRODUCTION ANALYSIS DASHBOARD</t>
  </si>
  <si>
    <t>Production-Day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</si>
</sst>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£&quot;* #,##0.00_-;\-&quot;£&quot;* #,##0.00_-;_-&quot;£&quot;* &quot;-&quot;??_-;_-@_-"/>
    <numFmt numFmtId="164" formatCode="_-[$ر.س.‏-401]\ * #,##0.00_-;_-[$ر.س.‏-401]\ * #,##0.00\-;_-[$ر.س.‏-401]\ * &quot;-&quot;??_-;_-@_-"/>
    <numFmt numFmtId="165" formatCode="_-[$SAR]\ * #,##0.00_-;\-[$SAR]\ * #,##0.00_-;_-[$SAR]\ * &quot;-&quot;??_-;_-@_-"/>
    <numFmt numFmtId="166" formatCode="[$SAR]\ #,##0.00"/>
    <numFmt numFmtId="167" formatCode="#,##0_ ;\-#,##0\ "/>
    <numFmt numFmtId="168" formatCode="0.0%"/>
  </numFmts>
  <fonts count="25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u/>
      <sz val="10"/>
      <color theme="1"/>
      <name val="Times New Roman"/>
      <family val="1"/>
    </font>
    <font>
      <u/>
      <sz val="11"/>
      <color theme="1"/>
      <name val="Times New Roman"/>
      <family val="1"/>
    </font>
    <font>
      <sz val="14"/>
      <color theme="1"/>
      <name val="Edwardian Script ITC"/>
      <family val="4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Edwardian Script ITC"/>
      <family val="4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70C0"/>
      <name val="Times New Roman"/>
      <family val="1"/>
    </font>
    <font>
      <sz val="10"/>
      <color rgb="FF0070C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5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7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6" xfId="0" applyFont="1" applyBorder="1"/>
    <xf numFmtId="0" fontId="0" fillId="0" borderId="0" xfId="0" applyBorder="1"/>
    <xf numFmtId="0" fontId="0" fillId="0" borderId="0" xfId="0" applyAlignment="1">
      <alignment horizontal="left"/>
    </xf>
    <xf numFmtId="0" fontId="6" fillId="0" borderId="20" xfId="0" applyFont="1" applyBorder="1"/>
    <xf numFmtId="0" fontId="6" fillId="0" borderId="19" xfId="0" applyFont="1" applyBorder="1" applyAlignment="1">
      <alignment horizontal="left"/>
    </xf>
    <xf numFmtId="0" fontId="6" fillId="0" borderId="17" xfId="0" applyFont="1" applyBorder="1"/>
    <xf numFmtId="0" fontId="6" fillId="0" borderId="5" xfId="0" applyFont="1" applyBorder="1"/>
    <xf numFmtId="0" fontId="6" fillId="0" borderId="18" xfId="0" applyFont="1" applyBorder="1"/>
    <xf numFmtId="0" fontId="6" fillId="0" borderId="15" xfId="0" applyFont="1" applyBorder="1"/>
    <xf numFmtId="0" fontId="3" fillId="0" borderId="0" xfId="0" applyFont="1" applyBorder="1"/>
    <xf numFmtId="0" fontId="3" fillId="0" borderId="10" xfId="0" applyFont="1" applyBorder="1" applyAlignment="1">
      <alignment horizontal="right"/>
    </xf>
    <xf numFmtId="0" fontId="3" fillId="0" borderId="22" xfId="0" applyFont="1" applyBorder="1"/>
    <xf numFmtId="0" fontId="0" fillId="0" borderId="7" xfId="0" applyBorder="1"/>
    <xf numFmtId="0" fontId="3" fillId="0" borderId="23" xfId="0" applyFont="1" applyBorder="1"/>
    <xf numFmtId="0" fontId="3" fillId="0" borderId="21" xfId="0" applyFont="1" applyBorder="1"/>
    <xf numFmtId="0" fontId="8" fillId="0" borderId="0" xfId="0" applyFont="1"/>
    <xf numFmtId="0" fontId="7" fillId="0" borderId="10" xfId="0" applyFont="1" applyBorder="1"/>
    <xf numFmtId="0" fontId="2" fillId="0" borderId="10" xfId="0" applyFont="1" applyBorder="1"/>
    <xf numFmtId="0" fontId="8" fillId="0" borderId="10" xfId="0" applyFont="1" applyBorder="1"/>
    <xf numFmtId="0" fontId="2" fillId="0" borderId="0" xfId="0" applyFont="1" applyBorder="1"/>
    <xf numFmtId="0" fontId="9" fillId="0" borderId="5" xfId="0" applyFont="1" applyBorder="1" applyAlignment="1">
      <alignment wrapText="1"/>
    </xf>
    <xf numFmtId="0" fontId="6" fillId="0" borderId="17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10" fillId="0" borderId="0" xfId="0" applyFont="1"/>
    <xf numFmtId="0" fontId="6" fillId="0" borderId="17" xfId="0" applyFont="1" applyBorder="1" applyAlignment="1">
      <alignment wrapText="1"/>
    </xf>
    <xf numFmtId="0" fontId="0" fillId="0" borderId="10" xfId="0" applyBorder="1"/>
    <xf numFmtId="0" fontId="11" fillId="0" borderId="10" xfId="0" applyFont="1" applyBorder="1"/>
    <xf numFmtId="0" fontId="12" fillId="0" borderId="10" xfId="0" applyFont="1" applyBorder="1"/>
    <xf numFmtId="0" fontId="8" fillId="0" borderId="1" xfId="0" applyFont="1" applyBorder="1"/>
    <xf numFmtId="0" fontId="8" fillId="0" borderId="25" xfId="0" applyFont="1" applyBorder="1"/>
    <xf numFmtId="0" fontId="9" fillId="0" borderId="17" xfId="0" applyFont="1" applyBorder="1" applyAlignment="1">
      <alignment horizontal="left" wrapText="1"/>
    </xf>
    <xf numFmtId="164" fontId="8" fillId="0" borderId="0" xfId="0" applyNumberFormat="1" applyFont="1"/>
    <xf numFmtId="165" fontId="8" fillId="0" borderId="10" xfId="1" applyNumberFormat="1" applyFont="1" applyBorder="1"/>
    <xf numFmtId="0" fontId="8" fillId="0" borderId="6" xfId="0" applyFont="1" applyBorder="1"/>
    <xf numFmtId="0" fontId="8" fillId="0" borderId="23" xfId="0" applyFont="1" applyBorder="1"/>
    <xf numFmtId="0" fontId="8" fillId="0" borderId="26" xfId="0" applyFont="1" applyBorder="1"/>
    <xf numFmtId="0" fontId="8" fillId="0" borderId="7" xfId="0" applyFont="1" applyBorder="1"/>
    <xf numFmtId="0" fontId="8" fillId="0" borderId="22" xfId="0" applyFont="1" applyBorder="1"/>
    <xf numFmtId="0" fontId="8" fillId="0" borderId="0" xfId="0" applyFont="1" applyBorder="1"/>
    <xf numFmtId="0" fontId="8" fillId="0" borderId="28" xfId="0" applyFont="1" applyBorder="1"/>
    <xf numFmtId="166" fontId="8" fillId="0" borderId="10" xfId="1" applyNumberFormat="1" applyFont="1" applyBorder="1"/>
    <xf numFmtId="0" fontId="14" fillId="0" borderId="10" xfId="0" applyFont="1" applyBorder="1"/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17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 applyAlignment="1">
      <alignment horizontal="right"/>
    </xf>
    <xf numFmtId="0" fontId="6" fillId="0" borderId="18" xfId="0" applyFont="1" applyBorder="1" applyAlignment="1">
      <alignment horizontal="left"/>
    </xf>
    <xf numFmtId="0" fontId="15" fillId="0" borderId="5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/>
    <xf numFmtId="14" fontId="0" fillId="0" borderId="10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4" fontId="0" fillId="0" borderId="55" xfId="0" applyNumberFormat="1" applyBorder="1" applyAlignment="1">
      <alignment vertical="center" wrapText="1"/>
    </xf>
    <xf numFmtId="14" fontId="0" fillId="0" borderId="0" xfId="0" applyNumberFormat="1"/>
    <xf numFmtId="167" fontId="0" fillId="0" borderId="0" xfId="0" applyNumberFormat="1"/>
    <xf numFmtId="1" fontId="0" fillId="0" borderId="0" xfId="0" applyNumberFormat="1"/>
    <xf numFmtId="0" fontId="15" fillId="0" borderId="0" xfId="0" applyFont="1" applyAlignment="1">
      <alignment vertical="center" wrapText="1"/>
    </xf>
    <xf numFmtId="10" fontId="15" fillId="0" borderId="0" xfId="0" applyNumberFormat="1" applyFont="1" applyAlignment="1">
      <alignment vertical="center" wrapText="1"/>
    </xf>
    <xf numFmtId="168" fontId="0" fillId="0" borderId="0" xfId="0" applyNumberFormat="1" applyAlignment="1">
      <alignment horizontal="right" vertical="center" wrapText="1"/>
    </xf>
    <xf numFmtId="168" fontId="0" fillId="0" borderId="0" xfId="0" applyNumberFormat="1"/>
    <xf numFmtId="1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2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8" fillId="0" borderId="2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21" fillId="4" borderId="37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3" fontId="21" fillId="4" borderId="37" xfId="0" applyNumberFormat="1" applyFont="1" applyFill="1" applyBorder="1" applyAlignment="1">
      <alignment horizontal="center"/>
    </xf>
    <xf numFmtId="3" fontId="21" fillId="4" borderId="38" xfId="0" applyNumberFormat="1" applyFont="1" applyFill="1" applyBorder="1" applyAlignment="1">
      <alignment horizontal="center"/>
    </xf>
    <xf numFmtId="3" fontId="21" fillId="4" borderId="39" xfId="0" applyNumberFormat="1" applyFont="1" applyFill="1" applyBorder="1" applyAlignment="1">
      <alignment horizontal="center"/>
    </xf>
    <xf numFmtId="3" fontId="21" fillId="4" borderId="37" xfId="0" applyNumberFormat="1" applyFont="1" applyFill="1" applyBorder="1" applyAlignment="1">
      <alignment horizontal="center" vertical="center"/>
    </xf>
    <xf numFmtId="3" fontId="21" fillId="4" borderId="38" xfId="0" applyNumberFormat="1" applyFont="1" applyFill="1" applyBorder="1" applyAlignment="1">
      <alignment horizontal="center" vertical="center"/>
    </xf>
    <xf numFmtId="3" fontId="21" fillId="4" borderId="39" xfId="0" applyNumberFormat="1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22" fillId="5" borderId="30" xfId="0" applyFont="1" applyFill="1" applyBorder="1" applyAlignment="1">
      <alignment horizontal="center" vertical="center"/>
    </xf>
    <xf numFmtId="0" fontId="22" fillId="5" borderId="31" xfId="0" applyFont="1" applyFill="1" applyBorder="1" applyAlignment="1">
      <alignment horizontal="center" vertical="center"/>
    </xf>
    <xf numFmtId="0" fontId="22" fillId="5" borderId="34" xfId="0" applyFont="1" applyFill="1" applyBorder="1" applyAlignment="1">
      <alignment horizontal="center" vertical="center"/>
    </xf>
    <xf numFmtId="0" fontId="22" fillId="5" borderId="35" xfId="0" applyFont="1" applyFill="1" applyBorder="1" applyAlignment="1">
      <alignment horizontal="center" vertical="center"/>
    </xf>
    <xf numFmtId="0" fontId="22" fillId="5" borderId="36" xfId="0" applyFont="1" applyFill="1" applyBorder="1" applyAlignment="1">
      <alignment horizontal="center" vertical="center"/>
    </xf>
    <xf numFmtId="0" fontId="23" fillId="5" borderId="56" xfId="0" applyFont="1" applyFill="1" applyBorder="1" applyAlignment="1">
      <alignment horizontal="center" vertical="center"/>
    </xf>
    <xf numFmtId="0" fontId="23" fillId="5" borderId="57" xfId="0" applyFont="1" applyFill="1" applyBorder="1" applyAlignment="1">
      <alignment horizontal="center" vertical="center"/>
    </xf>
    <xf numFmtId="0" fontId="23" fillId="5" borderId="58" xfId="0" applyFont="1" applyFill="1" applyBorder="1" applyAlignment="1">
      <alignment horizontal="center" vertical="center"/>
    </xf>
    <xf numFmtId="3" fontId="24" fillId="5" borderId="29" xfId="0" applyNumberFormat="1" applyFont="1" applyFill="1" applyBorder="1" applyAlignment="1">
      <alignment horizontal="center" vertical="center"/>
    </xf>
    <xf numFmtId="3" fontId="24" fillId="5" borderId="30" xfId="0" applyNumberFormat="1" applyFont="1" applyFill="1" applyBorder="1" applyAlignment="1">
      <alignment horizontal="center" vertical="center"/>
    </xf>
    <xf numFmtId="3" fontId="24" fillId="5" borderId="31" xfId="0" applyNumberFormat="1" applyFont="1" applyFill="1" applyBorder="1" applyAlignment="1">
      <alignment horizontal="center" vertical="center"/>
    </xf>
    <xf numFmtId="3" fontId="24" fillId="5" borderId="34" xfId="0" applyNumberFormat="1" applyFont="1" applyFill="1" applyBorder="1" applyAlignment="1">
      <alignment horizontal="center" vertical="center"/>
    </xf>
    <xf numFmtId="3" fontId="24" fillId="5" borderId="35" xfId="0" applyNumberFormat="1" applyFont="1" applyFill="1" applyBorder="1" applyAlignment="1">
      <alignment horizontal="center" vertical="center"/>
    </xf>
    <xf numFmtId="3" fontId="24" fillId="5" borderId="36" xfId="0" applyNumberFormat="1" applyFont="1" applyFill="1" applyBorder="1" applyAlignment="1">
      <alignment horizontal="center" vertical="center"/>
    </xf>
    <xf numFmtId="0" fontId="24" fillId="5" borderId="29" xfId="0" applyFont="1" applyFill="1" applyBorder="1" applyAlignment="1">
      <alignment horizontal="center" vertical="center"/>
    </xf>
    <xf numFmtId="0" fontId="24" fillId="5" borderId="30" xfId="0" applyFont="1" applyFill="1" applyBorder="1" applyAlignment="1">
      <alignment horizontal="center" vertical="center"/>
    </xf>
    <xf numFmtId="0" fontId="24" fillId="5" borderId="31" xfId="0" applyFont="1" applyFill="1" applyBorder="1" applyAlignment="1">
      <alignment horizontal="center" vertical="center"/>
    </xf>
    <xf numFmtId="0" fontId="24" fillId="5" borderId="34" xfId="0" applyFont="1" applyFill="1" applyBorder="1" applyAlignment="1">
      <alignment horizontal="center" vertical="center"/>
    </xf>
    <xf numFmtId="0" fontId="24" fillId="5" borderId="35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168" fontId="24" fillId="5" borderId="29" xfId="0" applyNumberFormat="1" applyFont="1" applyFill="1" applyBorder="1" applyAlignment="1">
      <alignment horizontal="center" vertical="center"/>
    </xf>
    <xf numFmtId="168" fontId="24" fillId="5" borderId="30" xfId="0" applyNumberFormat="1" applyFont="1" applyFill="1" applyBorder="1" applyAlignment="1">
      <alignment horizontal="center" vertical="center"/>
    </xf>
    <xf numFmtId="168" fontId="24" fillId="5" borderId="31" xfId="0" applyNumberFormat="1" applyFont="1" applyFill="1" applyBorder="1" applyAlignment="1">
      <alignment horizontal="center" vertical="center"/>
    </xf>
    <xf numFmtId="168" fontId="24" fillId="5" borderId="34" xfId="0" applyNumberFormat="1" applyFont="1" applyFill="1" applyBorder="1" applyAlignment="1">
      <alignment horizontal="center" vertical="center"/>
    </xf>
    <xf numFmtId="168" fontId="24" fillId="5" borderId="35" xfId="0" applyNumberFormat="1" applyFont="1" applyFill="1" applyBorder="1" applyAlignment="1">
      <alignment horizontal="center" vertical="center"/>
    </xf>
    <xf numFmtId="168" fontId="24" fillId="5" borderId="36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'April-26'!$A$1:$O$1</c:f>
              <c:numCache>
                <c:formatCode>General</c:formatCode>
                <c:ptCount val="15"/>
                <c:pt idx="0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'April-26'!$A$2:$O$2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'April-26'!$A$3:$O$3</c:f>
              <c:numCache>
                <c:formatCode>General</c:formatCode>
                <c:ptCount val="15"/>
                <c:pt idx="0">
                  <c:v>1</c:v>
                </c:pt>
                <c:pt idx="3">
                  <c:v>9420</c:v>
                </c:pt>
                <c:pt idx="5">
                  <c:v>0</c:v>
                </c:pt>
                <c:pt idx="9">
                  <c:v>9420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'April-26'!$A$4:$O$4</c:f>
              <c:numCache>
                <c:formatCode>General</c:formatCode>
                <c:ptCount val="15"/>
                <c:pt idx="0">
                  <c:v>2</c:v>
                </c:pt>
                <c:pt idx="1">
                  <c:v>12870</c:v>
                </c:pt>
                <c:pt idx="2">
                  <c:v>3040</c:v>
                </c:pt>
                <c:pt idx="9">
                  <c:v>15910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'April-26'!$A$5:$O$5</c:f>
              <c:numCache>
                <c:formatCode>General</c:formatCode>
                <c:ptCount val="15"/>
                <c:pt idx="0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'April-26'!$A$6:$O$6</c:f>
              <c:numCache>
                <c:formatCode>General</c:formatCode>
                <c:ptCount val="15"/>
                <c:pt idx="0">
                  <c:v>4</c:v>
                </c:pt>
                <c:pt idx="3">
                  <c:v>9228</c:v>
                </c:pt>
                <c:pt idx="9">
                  <c:v>9228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'April-26'!$A$7:$O$7</c:f>
              <c:numCache>
                <c:formatCode>General</c:formatCode>
                <c:ptCount val="15"/>
                <c:pt idx="0">
                  <c:v>5</c:v>
                </c:pt>
                <c:pt idx="3">
                  <c:v>9204</c:v>
                </c:pt>
                <c:pt idx="9">
                  <c:v>9204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'April-26'!$A$8:$O$8</c:f>
              <c:numCache>
                <c:formatCode>General</c:formatCode>
                <c:ptCount val="15"/>
                <c:pt idx="0">
                  <c:v>6</c:v>
                </c:pt>
                <c:pt idx="3">
                  <c:v>9540</c:v>
                </c:pt>
                <c:pt idx="9">
                  <c:v>9540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'April-26'!$A$9:$O$9</c:f>
              <c:numCache>
                <c:formatCode>General</c:formatCode>
                <c:ptCount val="15"/>
                <c:pt idx="0">
                  <c:v>7</c:v>
                </c:pt>
                <c:pt idx="2">
                  <c:v>6240</c:v>
                </c:pt>
                <c:pt idx="9">
                  <c:v>6240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'April-26'!$A$10:$O$10</c:f>
              <c:numCache>
                <c:formatCode>General</c:formatCode>
                <c:ptCount val="15"/>
                <c:pt idx="0">
                  <c:v>8</c:v>
                </c:pt>
                <c:pt idx="3">
                  <c:v>4800</c:v>
                </c:pt>
                <c:pt idx="9">
                  <c:v>4800</c:v>
                </c:pt>
              </c:numCache>
            </c:numRef>
          </c:val>
          <c:smooth val="0"/>
        </c:ser>
        <c:ser>
          <c:idx val="10"/>
          <c:order val="10"/>
          <c:marker>
            <c:symbol val="none"/>
          </c:marker>
          <c:val>
            <c:numRef>
              <c:f>'April-26'!$A$11:$O$11</c:f>
              <c:numCache>
                <c:formatCode>General</c:formatCode>
                <c:ptCount val="15"/>
                <c:pt idx="0">
                  <c:v>9</c:v>
                </c:pt>
                <c:pt idx="3">
                  <c:v>8640</c:v>
                </c:pt>
                <c:pt idx="9">
                  <c:v>8640</c:v>
                </c:pt>
              </c:numCache>
            </c:numRef>
          </c:val>
          <c:smooth val="0"/>
        </c:ser>
        <c:ser>
          <c:idx val="11"/>
          <c:order val="11"/>
          <c:marker>
            <c:symbol val="none"/>
          </c:marker>
          <c:val>
            <c:numRef>
              <c:f>'April-26'!$A$12:$O$12</c:f>
              <c:numCache>
                <c:formatCode>General</c:formatCode>
                <c:ptCount val="15"/>
                <c:pt idx="0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2"/>
          <c:order val="12"/>
          <c:marker>
            <c:symbol val="none"/>
          </c:marker>
          <c:val>
            <c:numRef>
              <c:f>'April-26'!$A$13:$O$13</c:f>
              <c:numCache>
                <c:formatCode>General</c:formatCode>
                <c:ptCount val="15"/>
                <c:pt idx="0">
                  <c:v>11</c:v>
                </c:pt>
                <c:pt idx="1">
                  <c:v>0</c:v>
                </c:pt>
                <c:pt idx="3">
                  <c:v>9300</c:v>
                </c:pt>
                <c:pt idx="9">
                  <c:v>9300</c:v>
                </c:pt>
              </c:numCache>
            </c:numRef>
          </c:val>
          <c:smooth val="0"/>
        </c:ser>
        <c:ser>
          <c:idx val="13"/>
          <c:order val="13"/>
          <c:marker>
            <c:symbol val="none"/>
          </c:marker>
          <c:val>
            <c:numRef>
              <c:f>'April-26'!$A$14:$O$14</c:f>
              <c:numCache>
                <c:formatCode>General</c:formatCode>
                <c:ptCount val="15"/>
                <c:pt idx="0">
                  <c:v>12</c:v>
                </c:pt>
                <c:pt idx="1">
                  <c:v>0</c:v>
                </c:pt>
                <c:pt idx="2">
                  <c:v>2720</c:v>
                </c:pt>
                <c:pt idx="3">
                  <c:v>7200</c:v>
                </c:pt>
                <c:pt idx="9">
                  <c:v>9920</c:v>
                </c:pt>
              </c:numCache>
            </c:numRef>
          </c:val>
          <c:smooth val="0"/>
        </c:ser>
        <c:ser>
          <c:idx val="14"/>
          <c:order val="14"/>
          <c:marker>
            <c:symbol val="none"/>
          </c:marker>
          <c:val>
            <c:numRef>
              <c:f>'April-26'!$A$15:$O$15</c:f>
              <c:numCache>
                <c:formatCode>General</c:formatCode>
                <c:ptCount val="15"/>
                <c:pt idx="0">
                  <c:v>13</c:v>
                </c:pt>
                <c:pt idx="2">
                  <c:v>8400</c:v>
                </c:pt>
                <c:pt idx="3">
                  <c:v>4800</c:v>
                </c:pt>
                <c:pt idx="9">
                  <c:v>13200</c:v>
                </c:pt>
              </c:numCache>
            </c:numRef>
          </c:val>
          <c:smooth val="0"/>
        </c:ser>
        <c:ser>
          <c:idx val="15"/>
          <c:order val="15"/>
          <c:marker>
            <c:symbol val="none"/>
          </c:marker>
          <c:val>
            <c:numRef>
              <c:f>'April-26'!$A$16:$O$16</c:f>
              <c:numCache>
                <c:formatCode>General</c:formatCode>
                <c:ptCount val="15"/>
                <c:pt idx="0">
                  <c:v>14</c:v>
                </c:pt>
                <c:pt idx="2">
                  <c:v>4960</c:v>
                </c:pt>
                <c:pt idx="3">
                  <c:v>9048</c:v>
                </c:pt>
                <c:pt idx="9">
                  <c:v>14008</c:v>
                </c:pt>
              </c:numCache>
            </c:numRef>
          </c:val>
          <c:smooth val="0"/>
        </c:ser>
        <c:ser>
          <c:idx val="16"/>
          <c:order val="16"/>
          <c:marker>
            <c:symbol val="none"/>
          </c:marker>
          <c:val>
            <c:numRef>
              <c:f>'April-26'!$A$17:$O$17</c:f>
              <c:numCache>
                <c:formatCode>General</c:formatCode>
                <c:ptCount val="15"/>
                <c:pt idx="0">
                  <c:v>15</c:v>
                </c:pt>
                <c:pt idx="1">
                  <c:v>0</c:v>
                </c:pt>
                <c:pt idx="2">
                  <c:v>5040</c:v>
                </c:pt>
                <c:pt idx="3">
                  <c:v>8460</c:v>
                </c:pt>
                <c:pt idx="9">
                  <c:v>13500</c:v>
                </c:pt>
              </c:numCache>
            </c:numRef>
          </c:val>
          <c:smooth val="0"/>
        </c:ser>
        <c:ser>
          <c:idx val="17"/>
          <c:order val="17"/>
          <c:marker>
            <c:symbol val="none"/>
          </c:marker>
          <c:val>
            <c:numRef>
              <c:f>'April-26'!$A$18:$O$18</c:f>
              <c:numCache>
                <c:formatCode>General</c:formatCode>
                <c:ptCount val="15"/>
                <c:pt idx="0">
                  <c:v>16</c:v>
                </c:pt>
                <c:pt idx="1">
                  <c:v>14630</c:v>
                </c:pt>
                <c:pt idx="9">
                  <c:v>14630</c:v>
                </c:pt>
              </c:numCache>
            </c:numRef>
          </c:val>
          <c:smooth val="0"/>
        </c:ser>
        <c:ser>
          <c:idx val="18"/>
          <c:order val="18"/>
          <c:marker>
            <c:symbol val="none"/>
          </c:marker>
          <c:val>
            <c:numRef>
              <c:f>'April-26'!$A$19:$O$19</c:f>
              <c:numCache>
                <c:formatCode>General</c:formatCode>
                <c:ptCount val="15"/>
                <c:pt idx="0">
                  <c:v>17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9"/>
          <c:order val="19"/>
          <c:marker>
            <c:symbol val="none"/>
          </c:marker>
          <c:val>
            <c:numRef>
              <c:f>'April-26'!$A$20:$O$20</c:f>
              <c:numCache>
                <c:formatCode>General</c:formatCode>
                <c:ptCount val="15"/>
                <c:pt idx="0">
                  <c:v>18</c:v>
                </c:pt>
                <c:pt idx="3">
                  <c:v>8364</c:v>
                </c:pt>
                <c:pt idx="9">
                  <c:v>8364</c:v>
                </c:pt>
              </c:numCache>
            </c:numRef>
          </c:val>
          <c:smooth val="0"/>
        </c:ser>
        <c:ser>
          <c:idx val="20"/>
          <c:order val="20"/>
          <c:marker>
            <c:symbol val="none"/>
          </c:marker>
          <c:val>
            <c:numRef>
              <c:f>'April-26'!$A$21:$O$21</c:f>
              <c:numCache>
                <c:formatCode>General</c:formatCode>
                <c:ptCount val="15"/>
                <c:pt idx="0">
                  <c:v>19</c:v>
                </c:pt>
                <c:pt idx="3">
                  <c:v>9276</c:v>
                </c:pt>
                <c:pt idx="9">
                  <c:v>9276</c:v>
                </c:pt>
              </c:numCache>
            </c:numRef>
          </c:val>
          <c:smooth val="0"/>
        </c:ser>
        <c:ser>
          <c:idx val="21"/>
          <c:order val="21"/>
          <c:marker>
            <c:symbol val="none"/>
          </c:marker>
          <c:val>
            <c:numRef>
              <c:f>'April-26'!$A$22:$O$22</c:f>
              <c:numCache>
                <c:formatCode>General</c:formatCode>
                <c:ptCount val="15"/>
                <c:pt idx="0">
                  <c:v>20</c:v>
                </c:pt>
                <c:pt idx="3">
                  <c:v>9300</c:v>
                </c:pt>
                <c:pt idx="9">
                  <c:v>9300</c:v>
                </c:pt>
              </c:numCache>
            </c:numRef>
          </c:val>
          <c:smooth val="0"/>
        </c:ser>
        <c:ser>
          <c:idx val="22"/>
          <c:order val="22"/>
          <c:marker>
            <c:symbol val="none"/>
          </c:marker>
          <c:val>
            <c:numRef>
              <c:f>'April-26'!$A$23:$O$23</c:f>
              <c:numCache>
                <c:formatCode>General</c:formatCode>
                <c:ptCount val="15"/>
                <c:pt idx="0">
                  <c:v>21</c:v>
                </c:pt>
                <c:pt idx="3">
                  <c:v>9336</c:v>
                </c:pt>
                <c:pt idx="9">
                  <c:v>9336</c:v>
                </c:pt>
              </c:numCache>
            </c:numRef>
          </c:val>
          <c:smooth val="0"/>
        </c:ser>
        <c:ser>
          <c:idx val="23"/>
          <c:order val="23"/>
          <c:marker>
            <c:symbol val="none"/>
          </c:marker>
          <c:val>
            <c:numRef>
              <c:f>'April-26'!$A$24:$O$24</c:f>
              <c:numCache>
                <c:formatCode>General</c:formatCode>
                <c:ptCount val="15"/>
                <c:pt idx="0">
                  <c:v>22</c:v>
                </c:pt>
                <c:pt idx="2">
                  <c:v>9360</c:v>
                </c:pt>
                <c:pt idx="9">
                  <c:v>9360</c:v>
                </c:pt>
              </c:numCache>
            </c:numRef>
          </c:val>
          <c:smooth val="0"/>
        </c:ser>
        <c:ser>
          <c:idx val="24"/>
          <c:order val="24"/>
          <c:marker>
            <c:symbol val="none"/>
          </c:marker>
          <c:val>
            <c:numRef>
              <c:f>'April-26'!$A$25:$O$25</c:f>
              <c:numCache>
                <c:formatCode>General</c:formatCode>
                <c:ptCount val="15"/>
                <c:pt idx="0">
                  <c:v>23</c:v>
                </c:pt>
                <c:pt idx="5">
                  <c:v>2844</c:v>
                </c:pt>
                <c:pt idx="9">
                  <c:v>2844</c:v>
                </c:pt>
              </c:numCache>
            </c:numRef>
          </c:val>
          <c:smooth val="0"/>
        </c:ser>
        <c:ser>
          <c:idx val="25"/>
          <c:order val="25"/>
          <c:marker>
            <c:symbol val="none"/>
          </c:marker>
          <c:val>
            <c:numRef>
              <c:f>'April-26'!$A$26:$O$26</c:f>
              <c:numCache>
                <c:formatCode>General</c:formatCode>
                <c:ptCount val="15"/>
                <c:pt idx="0">
                  <c:v>24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6"/>
          <c:order val="26"/>
          <c:marker>
            <c:symbol val="none"/>
          </c:marker>
          <c:val>
            <c:numRef>
              <c:f>'April-26'!$A$27:$O$27</c:f>
              <c:numCache>
                <c:formatCode>General</c:formatCode>
                <c:ptCount val="15"/>
                <c:pt idx="0">
                  <c:v>25</c:v>
                </c:pt>
                <c:pt idx="2">
                  <c:v>3040</c:v>
                </c:pt>
                <c:pt idx="3">
                  <c:v>9456</c:v>
                </c:pt>
                <c:pt idx="9">
                  <c:v>12496</c:v>
                </c:pt>
              </c:numCache>
            </c:numRef>
          </c:val>
          <c:smooth val="0"/>
        </c:ser>
        <c:ser>
          <c:idx val="27"/>
          <c:order val="27"/>
          <c:marker>
            <c:symbol val="none"/>
          </c:marker>
          <c:val>
            <c:numRef>
              <c:f>'April-26'!$A$28:$O$28</c:f>
              <c:numCache>
                <c:formatCode>General</c:formatCode>
                <c:ptCount val="15"/>
                <c:pt idx="0">
                  <c:v>26</c:v>
                </c:pt>
                <c:pt idx="2">
                  <c:v>2304</c:v>
                </c:pt>
                <c:pt idx="3">
                  <c:v>8184</c:v>
                </c:pt>
                <c:pt idx="9">
                  <c:v>10488</c:v>
                </c:pt>
              </c:numCache>
            </c:numRef>
          </c:val>
          <c:smooth val="0"/>
        </c:ser>
        <c:ser>
          <c:idx val="28"/>
          <c:order val="28"/>
          <c:marker>
            <c:symbol val="none"/>
          </c:marker>
          <c:val>
            <c:numRef>
              <c:f>'April-26'!$A$29:$O$29</c:f>
              <c:numCache>
                <c:formatCode>General</c:formatCode>
                <c:ptCount val="15"/>
                <c:pt idx="0">
                  <c:v>27</c:v>
                </c:pt>
                <c:pt idx="3">
                  <c:v>9336</c:v>
                </c:pt>
                <c:pt idx="9">
                  <c:v>9336</c:v>
                </c:pt>
              </c:numCache>
            </c:numRef>
          </c:val>
          <c:smooth val="0"/>
        </c:ser>
        <c:ser>
          <c:idx val="29"/>
          <c:order val="29"/>
          <c:marker>
            <c:symbol val="none"/>
          </c:marker>
          <c:val>
            <c:numRef>
              <c:f>'April-26'!$A$30:$O$30</c:f>
              <c:numCache>
                <c:formatCode>General</c:formatCode>
                <c:ptCount val="15"/>
                <c:pt idx="0">
                  <c:v>28</c:v>
                </c:pt>
                <c:pt idx="2">
                  <c:v>3360</c:v>
                </c:pt>
                <c:pt idx="3">
                  <c:v>10344</c:v>
                </c:pt>
                <c:pt idx="9">
                  <c:v>13704</c:v>
                </c:pt>
              </c:numCache>
            </c:numRef>
          </c:val>
          <c:smooth val="0"/>
        </c:ser>
        <c:ser>
          <c:idx val="30"/>
          <c:order val="30"/>
          <c:marker>
            <c:symbol val="none"/>
          </c:marker>
          <c:val>
            <c:numRef>
              <c:f>'April-26'!$A$31:$O$31</c:f>
              <c:numCache>
                <c:formatCode>General</c:formatCode>
                <c:ptCount val="15"/>
                <c:pt idx="0">
                  <c:v>29</c:v>
                </c:pt>
                <c:pt idx="2">
                  <c:v>3072</c:v>
                </c:pt>
                <c:pt idx="3">
                  <c:v>8148</c:v>
                </c:pt>
                <c:pt idx="9">
                  <c:v>11220</c:v>
                </c:pt>
              </c:numCache>
            </c:numRef>
          </c:val>
          <c:smooth val="0"/>
        </c:ser>
        <c:ser>
          <c:idx val="31"/>
          <c:order val="31"/>
          <c:marker>
            <c:symbol val="none"/>
          </c:marker>
          <c:val>
            <c:numRef>
              <c:f>'April-26'!$A$32:$O$32</c:f>
              <c:numCache>
                <c:formatCode>General</c:formatCode>
                <c:ptCount val="15"/>
                <c:pt idx="0">
                  <c:v>30</c:v>
                </c:pt>
                <c:pt idx="5">
                  <c:v>5820</c:v>
                </c:pt>
                <c:pt idx="9">
                  <c:v>5820</c:v>
                </c:pt>
              </c:numCache>
            </c:numRef>
          </c:val>
          <c:smooth val="0"/>
        </c:ser>
        <c:ser>
          <c:idx val="32"/>
          <c:order val="32"/>
          <c:marker>
            <c:symbol val="none"/>
          </c:marker>
          <c:val>
            <c:numRef>
              <c:f>'April-26'!$A$33:$O$33</c:f>
              <c:numCache>
                <c:formatCode>General</c:formatCode>
                <c:ptCount val="15"/>
                <c:pt idx="0">
                  <c:v>31</c:v>
                </c:pt>
                <c:pt idx="9">
                  <c:v>0</c:v>
                </c:pt>
              </c:numCache>
            </c:numRef>
          </c:val>
          <c:smooth val="0"/>
        </c:ser>
        <c:ser>
          <c:idx val="33"/>
          <c:order val="33"/>
          <c:marker>
            <c:symbol val="none"/>
          </c:marker>
          <c:val>
            <c:numRef>
              <c:f>'April-26'!$A$34:$O$34</c:f>
              <c:numCache>
                <c:formatCode>General</c:formatCode>
                <c:ptCount val="15"/>
                <c:pt idx="1">
                  <c:v>27500</c:v>
                </c:pt>
                <c:pt idx="2">
                  <c:v>51536</c:v>
                </c:pt>
                <c:pt idx="3">
                  <c:v>171384</c:v>
                </c:pt>
                <c:pt idx="4">
                  <c:v>0</c:v>
                </c:pt>
                <c:pt idx="5">
                  <c:v>8664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259084</c:v>
                </c:pt>
              </c:numCache>
            </c:numRef>
          </c:val>
          <c:smooth val="0"/>
        </c:ser>
        <c:ser>
          <c:idx val="34"/>
          <c:order val="34"/>
          <c:marker>
            <c:symbol val="none"/>
          </c:marker>
          <c:val>
            <c:numRef>
              <c:f>'April-26'!$A$35:$O$35</c:f>
              <c:numCache>
                <c:formatCode>General</c:formatCode>
                <c:ptCount val="15"/>
                <c:pt idx="1">
                  <c:v>52250</c:v>
                </c:pt>
                <c:pt idx="2">
                  <c:v>100495.2</c:v>
                </c:pt>
                <c:pt idx="3">
                  <c:v>342768</c:v>
                </c:pt>
                <c:pt idx="4">
                  <c:v>0</c:v>
                </c:pt>
                <c:pt idx="5">
                  <c:v>41154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536667.19999999995</c:v>
                </c:pt>
                <c:pt idx="10">
                  <c:v>2.0714023251146343</c:v>
                </c:pt>
              </c:numCache>
            </c:numRef>
          </c:val>
          <c:smooth val="0"/>
        </c:ser>
        <c:ser>
          <c:idx val="35"/>
          <c:order val="35"/>
          <c:marker>
            <c:symbol val="none"/>
          </c:marker>
          <c:val>
            <c:numRef>
              <c:f>'April-26'!$A$36:$O$36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6"/>
          <c:order val="36"/>
          <c:marker>
            <c:symbol val="none"/>
          </c:marker>
          <c:val>
            <c:numRef>
              <c:f>'April-26'!$A$37:$O$37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7"/>
          <c:order val="37"/>
          <c:marker>
            <c:symbol val="none"/>
          </c:marker>
          <c:val>
            <c:numRef>
              <c:f>'April-26'!$A$38:$O$38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38"/>
          <c:order val="38"/>
          <c:marker>
            <c:symbol val="none"/>
          </c:marker>
          <c:val>
            <c:numRef>
              <c:f>'April-26'!$A$39:$O$39</c:f>
              <c:numCache>
                <c:formatCode>General</c:formatCode>
                <c:ptCount val="15"/>
                <c:pt idx="1">
                  <c:v>0</c:v>
                </c:pt>
                <c:pt idx="3">
                  <c:v>8664</c:v>
                </c:pt>
                <c:pt idx="4">
                  <c:v>18.800879999999999</c:v>
                </c:pt>
                <c:pt idx="5">
                  <c:v>115.49112</c:v>
                </c:pt>
                <c:pt idx="6">
                  <c:v>50.511120000000005</c:v>
                </c:pt>
                <c:pt idx="7">
                  <c:v>184.80312000000001</c:v>
                </c:pt>
                <c:pt idx="8">
                  <c:v>138.624</c:v>
                </c:pt>
                <c:pt idx="9">
                  <c:v>296.875</c:v>
                </c:pt>
              </c:numCache>
            </c:numRef>
          </c:val>
          <c:smooth val="0"/>
        </c:ser>
        <c:ser>
          <c:idx val="39"/>
          <c:order val="39"/>
          <c:marker>
            <c:symbol val="none"/>
          </c:marker>
          <c:val>
            <c:numRef>
              <c:f>'April-26'!$A$40:$O$40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0"/>
          <c:order val="40"/>
          <c:marker>
            <c:symbol val="none"/>
          </c:marker>
          <c:val>
            <c:numRef>
              <c:f>'April-26'!$A$41:$O$41</c:f>
              <c:numCache>
                <c:formatCode>General</c:formatCode>
                <c:ptCount val="15"/>
                <c:pt idx="1">
                  <c:v>0</c:v>
                </c:pt>
                <c:pt idx="3">
                  <c:v>27500</c:v>
                </c:pt>
                <c:pt idx="4">
                  <c:v>32.450000000000003</c:v>
                </c:pt>
                <c:pt idx="5">
                  <c:v>199.92500000000001</c:v>
                </c:pt>
                <c:pt idx="6">
                  <c:v>87.45</c:v>
                </c:pt>
                <c:pt idx="7">
                  <c:v>319.82499999999999</c:v>
                </c:pt>
                <c:pt idx="8">
                  <c:v>220</c:v>
                </c:pt>
                <c:pt idx="9">
                  <c:v>0</c:v>
                </c:pt>
              </c:numCache>
            </c:numRef>
          </c:val>
          <c:smooth val="0"/>
        </c:ser>
        <c:ser>
          <c:idx val="41"/>
          <c:order val="41"/>
          <c:marker>
            <c:symbol val="none"/>
          </c:marker>
          <c:val>
            <c:numRef>
              <c:f>'April-26'!$A$42:$O$42</c:f>
              <c:numCache>
                <c:formatCode>General</c:formatCode>
                <c:ptCount val="15"/>
                <c:pt idx="1">
                  <c:v>0</c:v>
                </c:pt>
                <c:pt idx="3">
                  <c:v>51536</c:v>
                </c:pt>
                <c:pt idx="4">
                  <c:v>84.003679999999989</c:v>
                </c:pt>
                <c:pt idx="5">
                  <c:v>515.36</c:v>
                </c:pt>
                <c:pt idx="6">
                  <c:v>226.75840000000002</c:v>
                </c:pt>
                <c:pt idx="7">
                  <c:v>826.1220800000001</c:v>
                </c:pt>
                <c:pt idx="8">
                  <c:v>618.45673826953077</c:v>
                </c:pt>
                <c:pt idx="9">
                  <c:v>0</c:v>
                </c:pt>
              </c:numCache>
            </c:numRef>
          </c:val>
          <c:smooth val="0"/>
        </c:ser>
        <c:ser>
          <c:idx val="42"/>
          <c:order val="42"/>
          <c:marker>
            <c:symbol val="none"/>
          </c:marker>
          <c:val>
            <c:numRef>
              <c:f>'April-26'!$A$43:$O$43</c:f>
              <c:numCache>
                <c:formatCode>General</c:formatCode>
                <c:ptCount val="15"/>
                <c:pt idx="1">
                  <c:v>0</c:v>
                </c:pt>
                <c:pt idx="3">
                  <c:v>171384</c:v>
                </c:pt>
                <c:pt idx="4">
                  <c:v>310.20504000000005</c:v>
                </c:pt>
                <c:pt idx="5">
                  <c:v>1904.0762400000001</c:v>
                </c:pt>
                <c:pt idx="6">
                  <c:v>832.92624000000012</c:v>
                </c:pt>
                <c:pt idx="7">
                  <c:v>3047.2075199999999</c:v>
                </c:pt>
                <c:pt idx="8">
                  <c:v>2742.1439999999998</c:v>
                </c:pt>
                <c:pt idx="9">
                  <c:v>4.2117087942865145E-2</c:v>
                </c:pt>
              </c:numCache>
            </c:numRef>
          </c:val>
          <c:smooth val="0"/>
        </c:ser>
        <c:ser>
          <c:idx val="43"/>
          <c:order val="43"/>
          <c:marker>
            <c:symbol val="none"/>
          </c:marker>
          <c:val>
            <c:numRef>
              <c:f>'April-26'!$A$44:$O$44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4"/>
          <c:order val="44"/>
          <c:marker>
            <c:symbol val="none"/>
          </c:marker>
          <c:val>
            <c:numRef>
              <c:f>'April-26'!$A$45:$O$45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5"/>
          <c:order val="45"/>
          <c:marker>
            <c:symbol val="none"/>
          </c:marker>
          <c:val>
            <c:numRef>
              <c:f>'April-26'!$A$46:$O$46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6"/>
          <c:order val="46"/>
          <c:marker>
            <c:symbol val="none"/>
          </c:marker>
          <c:val>
            <c:numRef>
              <c:f>'April-26'!$A$47:$O$47</c:f>
              <c:numCache>
                <c:formatCode>General</c:formatCode>
                <c:ptCount val="15"/>
                <c:pt idx="4">
                  <c:v>445.45960000000002</c:v>
                </c:pt>
                <c:pt idx="5">
                  <c:v>2734.8523599999999</c:v>
                </c:pt>
                <c:pt idx="6">
                  <c:v>1197.6457600000001</c:v>
                </c:pt>
                <c:pt idx="8">
                  <c:v>3719.2247382695305</c:v>
                </c:pt>
              </c:numCache>
            </c:numRef>
          </c:val>
          <c:smooth val="0"/>
        </c:ser>
        <c:ser>
          <c:idx val="47"/>
          <c:order val="47"/>
          <c:marker>
            <c:symbol val="none"/>
          </c:marker>
          <c:val>
            <c:numRef>
              <c:f>'April-26'!$A$48:$O$48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8"/>
          <c:order val="48"/>
          <c:marker>
            <c:symbol val="none"/>
          </c:marker>
          <c:val>
            <c:numRef>
              <c:f>'April-26'!$A$49:$O$49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9"/>
          <c:order val="49"/>
          <c:marker>
            <c:symbol val="none"/>
          </c:marker>
          <c:val>
            <c:numRef>
              <c:f>'April-26'!$A$50:$O$50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0"/>
          <c:order val="50"/>
          <c:marker>
            <c:symbol val="none"/>
          </c:marker>
          <c:val>
            <c:numRef>
              <c:f>'April-26'!$A$51:$O$51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ser>
          <c:idx val="51"/>
          <c:order val="51"/>
          <c:marker>
            <c:symbol val="none"/>
          </c:marker>
          <c:val>
            <c:numRef>
              <c:f>'April-26'!$A$52:$O$52</c:f>
              <c:numCache>
                <c:formatCode>General</c:formatCode>
                <c:ptCount val="15"/>
                <c:pt idx="1">
                  <c:v>0</c:v>
                </c:pt>
                <c:pt idx="2">
                  <c:v>250420</c:v>
                </c:pt>
                <c:pt idx="3">
                  <c:v>426.65872000000002</c:v>
                </c:pt>
                <c:pt idx="4">
                  <c:v>102398.0928</c:v>
                </c:pt>
                <c:pt idx="5">
                  <c:v>2619.3612400000002</c:v>
                </c:pt>
                <c:pt idx="6">
                  <c:v>141445.50696</c:v>
                </c:pt>
                <c:pt idx="7">
                  <c:v>1147.1346400000002</c:v>
                </c:pt>
                <c:pt idx="8">
                  <c:v>3441.4039200000007</c:v>
                </c:pt>
              </c:numCache>
            </c:numRef>
          </c:val>
          <c:smooth val="0"/>
        </c:ser>
        <c:ser>
          <c:idx val="52"/>
          <c:order val="52"/>
          <c:marker>
            <c:symbol val="none"/>
          </c:marker>
          <c:val>
            <c:numRef>
              <c:f>'April-26'!$A$53:$O$53</c:f>
              <c:numCache>
                <c:formatCode>General</c:formatCode>
                <c:ptCount val="15"/>
                <c:pt idx="1">
                  <c:v>0</c:v>
                </c:pt>
                <c:pt idx="2">
                  <c:v>8664</c:v>
                </c:pt>
                <c:pt idx="3">
                  <c:v>18.800879999999999</c:v>
                </c:pt>
                <c:pt idx="4">
                  <c:v>4512.2111999999997</c:v>
                </c:pt>
                <c:pt idx="5">
                  <c:v>115.49112</c:v>
                </c:pt>
                <c:pt idx="6">
                  <c:v>6236.5204800000001</c:v>
                </c:pt>
                <c:pt idx="7">
                  <c:v>50.511120000000005</c:v>
                </c:pt>
                <c:pt idx="8">
                  <c:v>151.53336000000002</c:v>
                </c:pt>
              </c:numCache>
            </c:numRef>
          </c:val>
          <c:smooth val="0"/>
        </c:ser>
        <c:ser>
          <c:idx val="53"/>
          <c:order val="53"/>
          <c:marker>
            <c:symbol val="none"/>
          </c:marker>
          <c:val>
            <c:numRef>
              <c:f>'April-26'!$A$54:$O$54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4"/>
          <c:order val="54"/>
          <c:marker>
            <c:symbol val="none"/>
          </c:marker>
          <c:val>
            <c:numRef>
              <c:f>'April-26'!$A$55:$O$55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5"/>
          <c:order val="55"/>
          <c:marker>
            <c:symbol val="none"/>
          </c:marker>
          <c:val>
            <c:numRef>
              <c:f>'April-26'!$A$56:$O$56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6"/>
          <c:order val="56"/>
          <c:marker>
            <c:symbol val="none"/>
          </c:marker>
          <c:val>
            <c:numRef>
              <c:f>'April-26'!$A$57:$O$57</c:f>
              <c:numCache>
                <c:formatCode>General</c:formatCode>
                <c:ptCount val="1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86848"/>
        <c:axId val="84305024"/>
      </c:lineChart>
      <c:catAx>
        <c:axId val="84286848"/>
        <c:scaling>
          <c:orientation val="minMax"/>
        </c:scaling>
        <c:delete val="0"/>
        <c:axPos val="b"/>
        <c:majorTickMark val="out"/>
        <c:minorTickMark val="none"/>
        <c:tickLblPos val="nextTo"/>
        <c:crossAx val="84305024"/>
        <c:crosses val="autoZero"/>
        <c:auto val="1"/>
        <c:lblAlgn val="ctr"/>
        <c:lblOffset val="100"/>
        <c:noMultiLvlLbl val="0"/>
      </c:catAx>
      <c:valAx>
        <c:axId val="8430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286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'May-26'!$A$1:$O$1</c:f>
              <c:numCache>
                <c:formatCode>General</c:formatCode>
                <c:ptCount val="15"/>
                <c:pt idx="0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'May-26'!$A$2:$O$2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'May-26'!$A$3:$O$3</c:f>
              <c:numCache>
                <c:formatCode>General</c:formatCode>
                <c:ptCount val="15"/>
                <c:pt idx="0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'May-26'!$A$4:$O$4</c:f>
              <c:numCache>
                <c:formatCode>General</c:formatCode>
                <c:ptCount val="15"/>
                <c:pt idx="0">
                  <c:v>2</c:v>
                </c:pt>
                <c:pt idx="2">
                  <c:v>3056</c:v>
                </c:pt>
                <c:pt idx="3">
                  <c:v>9516</c:v>
                </c:pt>
                <c:pt idx="9">
                  <c:v>12572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'May-26'!$A$5:$O$5</c:f>
              <c:numCache>
                <c:formatCode>General</c:formatCode>
                <c:ptCount val="15"/>
                <c:pt idx="0">
                  <c:v>3</c:v>
                </c:pt>
                <c:pt idx="2">
                  <c:v>3392</c:v>
                </c:pt>
                <c:pt idx="3">
                  <c:v>10032</c:v>
                </c:pt>
                <c:pt idx="9">
                  <c:v>13424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'May-26'!$A$6:$O$6</c:f>
              <c:numCache>
                <c:formatCode>General</c:formatCode>
                <c:ptCount val="15"/>
                <c:pt idx="0">
                  <c:v>4</c:v>
                </c:pt>
                <c:pt idx="2">
                  <c:v>3168</c:v>
                </c:pt>
                <c:pt idx="3">
                  <c:v>9396</c:v>
                </c:pt>
                <c:pt idx="9">
                  <c:v>12564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'May-26'!$A$7:$O$7</c:f>
              <c:numCache>
                <c:formatCode>General</c:formatCode>
                <c:ptCount val="15"/>
                <c:pt idx="0">
                  <c:v>5</c:v>
                </c:pt>
                <c:pt idx="2">
                  <c:v>3040</c:v>
                </c:pt>
                <c:pt idx="3">
                  <c:v>9240</c:v>
                </c:pt>
                <c:pt idx="9">
                  <c:v>12280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'May-26'!$A$8:$O$8</c:f>
              <c:numCache>
                <c:formatCode>General</c:formatCode>
                <c:ptCount val="15"/>
                <c:pt idx="0">
                  <c:v>6</c:v>
                </c:pt>
                <c:pt idx="2">
                  <c:v>3168</c:v>
                </c:pt>
                <c:pt idx="3">
                  <c:v>7944</c:v>
                </c:pt>
                <c:pt idx="9">
                  <c:v>11112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'May-26'!$A$9:$O$9</c:f>
              <c:numCache>
                <c:formatCode>General</c:formatCode>
                <c:ptCount val="15"/>
                <c:pt idx="0">
                  <c:v>7</c:v>
                </c:pt>
                <c:pt idx="1">
                  <c:v>15070</c:v>
                </c:pt>
                <c:pt idx="9">
                  <c:v>15070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'May-26'!$A$10:$O$10</c:f>
              <c:numCache>
                <c:formatCode>General</c:formatCode>
                <c:ptCount val="15"/>
                <c:pt idx="0">
                  <c:v>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0"/>
          <c:order val="10"/>
          <c:marker>
            <c:symbol val="none"/>
          </c:marker>
          <c:val>
            <c:numRef>
              <c:f>'May-26'!$A$11:$O$11</c:f>
              <c:numCache>
                <c:formatCode>General</c:formatCode>
                <c:ptCount val="15"/>
                <c:pt idx="0">
                  <c:v>9</c:v>
                </c:pt>
                <c:pt idx="2">
                  <c:v>3536</c:v>
                </c:pt>
                <c:pt idx="3">
                  <c:v>10416</c:v>
                </c:pt>
                <c:pt idx="9">
                  <c:v>13952</c:v>
                </c:pt>
              </c:numCache>
            </c:numRef>
          </c:val>
          <c:smooth val="0"/>
        </c:ser>
        <c:ser>
          <c:idx val="11"/>
          <c:order val="11"/>
          <c:marker>
            <c:symbol val="none"/>
          </c:marker>
          <c:val>
            <c:numRef>
              <c:f>'May-26'!$A$12:$O$12</c:f>
              <c:numCache>
                <c:formatCode>General</c:formatCode>
                <c:ptCount val="15"/>
                <c:pt idx="0">
                  <c:v>10</c:v>
                </c:pt>
                <c:pt idx="2">
                  <c:v>1200</c:v>
                </c:pt>
                <c:pt idx="3">
                  <c:v>7476</c:v>
                </c:pt>
                <c:pt idx="9">
                  <c:v>8676</c:v>
                </c:pt>
              </c:numCache>
            </c:numRef>
          </c:val>
          <c:smooth val="0"/>
        </c:ser>
        <c:ser>
          <c:idx val="12"/>
          <c:order val="12"/>
          <c:marker>
            <c:symbol val="none"/>
          </c:marker>
          <c:val>
            <c:numRef>
              <c:f>'May-26'!$A$13:$O$13</c:f>
              <c:numCache>
                <c:formatCode>General</c:formatCode>
                <c:ptCount val="15"/>
                <c:pt idx="0">
                  <c:v>11</c:v>
                </c:pt>
                <c:pt idx="2">
                  <c:v>3760</c:v>
                </c:pt>
                <c:pt idx="3">
                  <c:v>8988</c:v>
                </c:pt>
                <c:pt idx="9">
                  <c:v>12748</c:v>
                </c:pt>
              </c:numCache>
            </c:numRef>
          </c:val>
          <c:smooth val="0"/>
        </c:ser>
        <c:ser>
          <c:idx val="13"/>
          <c:order val="13"/>
          <c:marker>
            <c:symbol val="none"/>
          </c:marker>
          <c:val>
            <c:numRef>
              <c:f>'May-26'!$A$14:$O$14</c:f>
              <c:numCache>
                <c:formatCode>General</c:formatCode>
                <c:ptCount val="15"/>
                <c:pt idx="0">
                  <c:v>12</c:v>
                </c:pt>
                <c:pt idx="2">
                  <c:v>2752</c:v>
                </c:pt>
                <c:pt idx="3">
                  <c:v>9288</c:v>
                </c:pt>
                <c:pt idx="9">
                  <c:v>12040</c:v>
                </c:pt>
              </c:numCache>
            </c:numRef>
          </c:val>
          <c:smooth val="0"/>
        </c:ser>
        <c:ser>
          <c:idx val="14"/>
          <c:order val="14"/>
          <c:marker>
            <c:symbol val="none"/>
          </c:marker>
          <c:val>
            <c:numRef>
              <c:f>'May-26'!$A$15:$O$15</c:f>
              <c:numCache>
                <c:formatCode>General</c:formatCode>
                <c:ptCount val="15"/>
                <c:pt idx="0">
                  <c:v>13</c:v>
                </c:pt>
                <c:pt idx="2">
                  <c:v>4464</c:v>
                </c:pt>
                <c:pt idx="3">
                  <c:v>9336</c:v>
                </c:pt>
                <c:pt idx="9">
                  <c:v>13800</c:v>
                </c:pt>
              </c:numCache>
            </c:numRef>
          </c:val>
          <c:smooth val="0"/>
        </c:ser>
        <c:ser>
          <c:idx val="15"/>
          <c:order val="15"/>
          <c:marker>
            <c:symbol val="none"/>
          </c:marker>
          <c:val>
            <c:numRef>
              <c:f>'May-26'!$A$16:$O$16</c:f>
              <c:numCache>
                <c:formatCode>General</c:formatCode>
                <c:ptCount val="15"/>
                <c:pt idx="0">
                  <c:v>14</c:v>
                </c:pt>
                <c:pt idx="3">
                  <c:v>9240</c:v>
                </c:pt>
                <c:pt idx="9">
                  <c:v>9240</c:v>
                </c:pt>
              </c:numCache>
            </c:numRef>
          </c:val>
          <c:smooth val="0"/>
        </c:ser>
        <c:ser>
          <c:idx val="16"/>
          <c:order val="16"/>
          <c:marker>
            <c:symbol val="none"/>
          </c:marker>
          <c:val>
            <c:numRef>
              <c:f>'May-26'!$A$17:$O$17</c:f>
              <c:numCache>
                <c:formatCode>General</c:formatCode>
                <c:ptCount val="15"/>
                <c:pt idx="0">
                  <c:v>15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7"/>
          <c:order val="17"/>
          <c:marker>
            <c:symbol val="none"/>
          </c:marker>
          <c:val>
            <c:numRef>
              <c:f>'May-26'!$A$18:$O$18</c:f>
              <c:numCache>
                <c:formatCode>General</c:formatCode>
                <c:ptCount val="15"/>
                <c:pt idx="0">
                  <c:v>16</c:v>
                </c:pt>
                <c:pt idx="2">
                  <c:v>4112</c:v>
                </c:pt>
                <c:pt idx="3">
                  <c:v>9288</c:v>
                </c:pt>
                <c:pt idx="9">
                  <c:v>13400</c:v>
                </c:pt>
              </c:numCache>
            </c:numRef>
          </c:val>
          <c:smooth val="0"/>
        </c:ser>
        <c:ser>
          <c:idx val="18"/>
          <c:order val="18"/>
          <c:marker>
            <c:symbol val="none"/>
          </c:marker>
          <c:val>
            <c:numRef>
              <c:f>'May-26'!$A$19:$O$19</c:f>
              <c:numCache>
                <c:formatCode>General</c:formatCode>
                <c:ptCount val="15"/>
                <c:pt idx="0">
                  <c:v>17</c:v>
                </c:pt>
                <c:pt idx="2">
                  <c:v>3168</c:v>
                </c:pt>
                <c:pt idx="3">
                  <c:v>8268</c:v>
                </c:pt>
                <c:pt idx="9">
                  <c:v>11436</c:v>
                </c:pt>
              </c:numCache>
            </c:numRef>
          </c:val>
          <c:smooth val="0"/>
        </c:ser>
        <c:ser>
          <c:idx val="19"/>
          <c:order val="19"/>
          <c:marker>
            <c:symbol val="none"/>
          </c:marker>
          <c:val>
            <c:numRef>
              <c:f>'May-26'!$A$20:$O$20</c:f>
              <c:numCache>
                <c:formatCode>General</c:formatCode>
                <c:ptCount val="15"/>
                <c:pt idx="0">
                  <c:v>18</c:v>
                </c:pt>
                <c:pt idx="2">
                  <c:v>3504</c:v>
                </c:pt>
                <c:pt idx="3">
                  <c:v>7884</c:v>
                </c:pt>
                <c:pt idx="9">
                  <c:v>11388</c:v>
                </c:pt>
              </c:numCache>
            </c:numRef>
          </c:val>
          <c:smooth val="0"/>
        </c:ser>
        <c:ser>
          <c:idx val="20"/>
          <c:order val="20"/>
          <c:marker>
            <c:symbol val="none"/>
          </c:marker>
          <c:val>
            <c:numRef>
              <c:f>'May-26'!$A$21:$O$21</c:f>
              <c:numCache>
                <c:formatCode>General</c:formatCode>
                <c:ptCount val="15"/>
                <c:pt idx="0">
                  <c:v>19</c:v>
                </c:pt>
                <c:pt idx="2">
                  <c:v>3264</c:v>
                </c:pt>
                <c:pt idx="3">
                  <c:v>8220</c:v>
                </c:pt>
                <c:pt idx="9">
                  <c:v>11484</c:v>
                </c:pt>
              </c:numCache>
            </c:numRef>
          </c:val>
          <c:smooth val="0"/>
        </c:ser>
        <c:ser>
          <c:idx val="21"/>
          <c:order val="21"/>
          <c:marker>
            <c:symbol val="none"/>
          </c:marker>
          <c:val>
            <c:numRef>
              <c:f>'May-26'!$A$22:$O$22</c:f>
              <c:numCache>
                <c:formatCode>General</c:formatCode>
                <c:ptCount val="15"/>
                <c:pt idx="0">
                  <c:v>20</c:v>
                </c:pt>
                <c:pt idx="2">
                  <c:v>3600</c:v>
                </c:pt>
                <c:pt idx="3">
                  <c:v>8244</c:v>
                </c:pt>
                <c:pt idx="9">
                  <c:v>11844</c:v>
                </c:pt>
              </c:numCache>
            </c:numRef>
          </c:val>
          <c:smooth val="0"/>
        </c:ser>
        <c:ser>
          <c:idx val="22"/>
          <c:order val="22"/>
          <c:marker>
            <c:symbol val="none"/>
          </c:marker>
          <c:val>
            <c:numRef>
              <c:f>'May-26'!$A$23:$O$23</c:f>
              <c:numCache>
                <c:formatCode>General</c:formatCode>
                <c:ptCount val="15"/>
                <c:pt idx="0">
                  <c:v>21</c:v>
                </c:pt>
                <c:pt idx="5">
                  <c:v>7332</c:v>
                </c:pt>
                <c:pt idx="9">
                  <c:v>7332</c:v>
                </c:pt>
              </c:numCache>
            </c:numRef>
          </c:val>
          <c:smooth val="0"/>
        </c:ser>
        <c:ser>
          <c:idx val="23"/>
          <c:order val="23"/>
          <c:marker>
            <c:symbol val="none"/>
          </c:marker>
          <c:val>
            <c:numRef>
              <c:f>'May-26'!$A$24:$O$24</c:f>
              <c:numCache>
                <c:formatCode>General</c:formatCode>
                <c:ptCount val="15"/>
                <c:pt idx="0">
                  <c:v>22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4"/>
          <c:order val="24"/>
          <c:marker>
            <c:symbol val="none"/>
          </c:marker>
          <c:val>
            <c:numRef>
              <c:f>'May-26'!$A$25:$O$25</c:f>
              <c:numCache>
                <c:formatCode>General</c:formatCode>
                <c:ptCount val="15"/>
                <c:pt idx="0">
                  <c:v>23</c:v>
                </c:pt>
                <c:pt idx="2">
                  <c:v>2688</c:v>
                </c:pt>
                <c:pt idx="3">
                  <c:v>8220</c:v>
                </c:pt>
                <c:pt idx="9">
                  <c:v>10908</c:v>
                </c:pt>
              </c:numCache>
            </c:numRef>
          </c:val>
          <c:smooth val="0"/>
        </c:ser>
        <c:ser>
          <c:idx val="25"/>
          <c:order val="25"/>
          <c:marker>
            <c:symbol val="none"/>
          </c:marker>
          <c:val>
            <c:numRef>
              <c:f>'May-26'!$A$26:$O$26</c:f>
              <c:numCache>
                <c:formatCode>General</c:formatCode>
                <c:ptCount val="15"/>
                <c:pt idx="0">
                  <c:v>24</c:v>
                </c:pt>
                <c:pt idx="2">
                  <c:v>4560</c:v>
                </c:pt>
                <c:pt idx="3">
                  <c:v>9300</c:v>
                </c:pt>
                <c:pt idx="9">
                  <c:v>13860</c:v>
                </c:pt>
              </c:numCache>
            </c:numRef>
          </c:val>
          <c:smooth val="0"/>
        </c:ser>
        <c:ser>
          <c:idx val="26"/>
          <c:order val="26"/>
          <c:marker>
            <c:symbol val="none"/>
          </c:marker>
          <c:val>
            <c:numRef>
              <c:f>'May-26'!$A$27:$O$27</c:f>
              <c:numCache>
                <c:formatCode>General</c:formatCode>
                <c:ptCount val="15"/>
                <c:pt idx="0">
                  <c:v>25</c:v>
                </c:pt>
                <c:pt idx="1">
                  <c:v>16544</c:v>
                </c:pt>
                <c:pt idx="9">
                  <c:v>16544</c:v>
                </c:pt>
              </c:numCache>
            </c:numRef>
          </c:val>
          <c:smooth val="0"/>
        </c:ser>
        <c:ser>
          <c:idx val="27"/>
          <c:order val="27"/>
          <c:marker>
            <c:symbol val="none"/>
          </c:marker>
          <c:val>
            <c:numRef>
              <c:f>'May-26'!$A$28:$O$28</c:f>
              <c:numCache>
                <c:formatCode>General</c:formatCode>
                <c:ptCount val="15"/>
                <c:pt idx="0">
                  <c:v>26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8"/>
          <c:order val="28"/>
          <c:marker>
            <c:symbol val="none"/>
          </c:marker>
          <c:val>
            <c:numRef>
              <c:f>'May-26'!$A$29:$O$29</c:f>
              <c:numCache>
                <c:formatCode>General</c:formatCode>
                <c:ptCount val="15"/>
                <c:pt idx="0">
                  <c:v>27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9"/>
          <c:order val="29"/>
          <c:marker>
            <c:symbol val="none"/>
          </c:marker>
          <c:val>
            <c:numRef>
              <c:f>'May-26'!$A$30:$O$30</c:f>
              <c:numCache>
                <c:formatCode>General</c:formatCode>
                <c:ptCount val="15"/>
                <c:pt idx="0">
                  <c:v>28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30"/>
          <c:order val="30"/>
          <c:marker>
            <c:symbol val="none"/>
          </c:marker>
          <c:val>
            <c:numRef>
              <c:f>'May-26'!$A$31:$O$31</c:f>
              <c:numCache>
                <c:formatCode>General</c:formatCode>
                <c:ptCount val="15"/>
                <c:pt idx="0">
                  <c:v>29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31"/>
          <c:order val="31"/>
          <c:marker>
            <c:symbol val="none"/>
          </c:marker>
          <c:val>
            <c:numRef>
              <c:f>'May-26'!$A$32:$O$32</c:f>
              <c:numCache>
                <c:formatCode>General</c:formatCode>
                <c:ptCount val="15"/>
                <c:pt idx="0">
                  <c:v>30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32"/>
          <c:order val="32"/>
          <c:marker>
            <c:symbol val="none"/>
          </c:marker>
          <c:val>
            <c:numRef>
              <c:f>'May-26'!$A$33:$O$33</c:f>
              <c:numCache>
                <c:formatCode>General</c:formatCode>
                <c:ptCount val="15"/>
                <c:pt idx="0">
                  <c:v>31</c:v>
                </c:pt>
                <c:pt idx="2">
                  <c:v>3200</c:v>
                </c:pt>
                <c:pt idx="3">
                  <c:v>9348</c:v>
                </c:pt>
                <c:pt idx="9">
                  <c:v>12548</c:v>
                </c:pt>
              </c:numCache>
            </c:numRef>
          </c:val>
          <c:smooth val="0"/>
        </c:ser>
        <c:ser>
          <c:idx val="33"/>
          <c:order val="33"/>
          <c:marker>
            <c:symbol val="none"/>
          </c:marker>
          <c:val>
            <c:numRef>
              <c:f>'May-26'!$A$34:$O$34</c:f>
              <c:numCache>
                <c:formatCode>General</c:formatCode>
                <c:ptCount val="15"/>
                <c:pt idx="1">
                  <c:v>31614</c:v>
                </c:pt>
                <c:pt idx="2">
                  <c:v>59632</c:v>
                </c:pt>
                <c:pt idx="3">
                  <c:v>169644</c:v>
                </c:pt>
                <c:pt idx="4">
                  <c:v>0</c:v>
                </c:pt>
                <c:pt idx="5">
                  <c:v>7332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268222</c:v>
                </c:pt>
              </c:numCache>
            </c:numRef>
          </c:val>
          <c:smooth val="0"/>
        </c:ser>
        <c:ser>
          <c:idx val="34"/>
          <c:order val="34"/>
          <c:marker>
            <c:symbol val="none"/>
          </c:marker>
          <c:val>
            <c:numRef>
              <c:f>'May-26'!$A$35:$O$35</c:f>
              <c:numCache>
                <c:formatCode>General</c:formatCode>
                <c:ptCount val="15"/>
                <c:pt idx="1">
                  <c:v>60066.6</c:v>
                </c:pt>
                <c:pt idx="2">
                  <c:v>116282.4</c:v>
                </c:pt>
                <c:pt idx="3">
                  <c:v>339288</c:v>
                </c:pt>
                <c:pt idx="4">
                  <c:v>0</c:v>
                </c:pt>
                <c:pt idx="5">
                  <c:v>30794.400000000001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546431.4</c:v>
                </c:pt>
                <c:pt idx="10">
                  <c:v>2.0372355735174597</c:v>
                </c:pt>
              </c:numCache>
            </c:numRef>
          </c:val>
          <c:smooth val="0"/>
        </c:ser>
        <c:ser>
          <c:idx val="35"/>
          <c:order val="35"/>
          <c:marker>
            <c:symbol val="none"/>
          </c:marker>
          <c:val>
            <c:numRef>
              <c:f>'May-26'!$A$36:$O$36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6"/>
          <c:order val="36"/>
          <c:marker>
            <c:symbol val="none"/>
          </c:marker>
          <c:val>
            <c:numRef>
              <c:f>'May-26'!$A$37:$O$37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7"/>
          <c:order val="37"/>
          <c:marker>
            <c:symbol val="none"/>
          </c:marker>
          <c:val>
            <c:numRef>
              <c:f>'May-26'!$A$38:$O$38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38"/>
          <c:order val="38"/>
          <c:marker>
            <c:symbol val="none"/>
          </c:marker>
          <c:val>
            <c:numRef>
              <c:f>'May-26'!$A$39:$O$39</c:f>
              <c:numCache>
                <c:formatCode>General</c:formatCode>
                <c:ptCount val="15"/>
                <c:pt idx="1">
                  <c:v>0</c:v>
                </c:pt>
                <c:pt idx="3">
                  <c:v>7332</c:v>
                </c:pt>
                <c:pt idx="4">
                  <c:v>15.910439999999999</c:v>
                </c:pt>
                <c:pt idx="5">
                  <c:v>97.735559999999992</c:v>
                </c:pt>
                <c:pt idx="6">
                  <c:v>42.745559999999998</c:v>
                </c:pt>
                <c:pt idx="7">
                  <c:v>156.39155999999997</c:v>
                </c:pt>
                <c:pt idx="8">
                  <c:v>117.312</c:v>
                </c:pt>
                <c:pt idx="9">
                  <c:v>262.5</c:v>
                </c:pt>
              </c:numCache>
            </c:numRef>
          </c:val>
          <c:smooth val="0"/>
        </c:ser>
        <c:ser>
          <c:idx val="39"/>
          <c:order val="39"/>
          <c:marker>
            <c:symbol val="none"/>
          </c:marker>
          <c:val>
            <c:numRef>
              <c:f>'May-26'!$A$40:$O$40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0"/>
          <c:order val="40"/>
          <c:marker>
            <c:symbol val="none"/>
          </c:marker>
          <c:val>
            <c:numRef>
              <c:f>'May-26'!$A$41:$O$41</c:f>
              <c:numCache>
                <c:formatCode>General</c:formatCode>
                <c:ptCount val="15"/>
                <c:pt idx="1">
                  <c:v>0</c:v>
                </c:pt>
                <c:pt idx="3">
                  <c:v>31614</c:v>
                </c:pt>
                <c:pt idx="4">
                  <c:v>37.304519999999997</c:v>
                </c:pt>
                <c:pt idx="5">
                  <c:v>229.83377999999999</c:v>
                </c:pt>
                <c:pt idx="6">
                  <c:v>100.53252000000001</c:v>
                </c:pt>
                <c:pt idx="7">
                  <c:v>367.67082000000005</c:v>
                </c:pt>
                <c:pt idx="8">
                  <c:v>252.91200000000001</c:v>
                </c:pt>
                <c:pt idx="9">
                  <c:v>0</c:v>
                </c:pt>
              </c:numCache>
            </c:numRef>
          </c:val>
          <c:smooth val="0"/>
        </c:ser>
        <c:ser>
          <c:idx val="41"/>
          <c:order val="41"/>
          <c:marker>
            <c:symbol val="none"/>
          </c:marker>
          <c:val>
            <c:numRef>
              <c:f>'May-26'!$A$42:$O$42</c:f>
              <c:numCache>
                <c:formatCode>General</c:formatCode>
                <c:ptCount val="15"/>
                <c:pt idx="1">
                  <c:v>0</c:v>
                </c:pt>
                <c:pt idx="3">
                  <c:v>59632</c:v>
                </c:pt>
                <c:pt idx="4">
                  <c:v>97.200159999999983</c:v>
                </c:pt>
                <c:pt idx="5">
                  <c:v>596.32000000000005</c:v>
                </c:pt>
                <c:pt idx="6">
                  <c:v>262.38080000000002</c:v>
                </c:pt>
                <c:pt idx="7">
                  <c:v>955.90096000000005</c:v>
                </c:pt>
                <c:pt idx="8">
                  <c:v>715.6126245049802</c:v>
                </c:pt>
                <c:pt idx="9">
                  <c:v>0</c:v>
                </c:pt>
              </c:numCache>
            </c:numRef>
          </c:val>
          <c:smooth val="0"/>
        </c:ser>
        <c:ser>
          <c:idx val="42"/>
          <c:order val="42"/>
          <c:marker>
            <c:symbol val="none"/>
          </c:marker>
          <c:val>
            <c:numRef>
              <c:f>'May-26'!$A$43:$O$43</c:f>
              <c:numCache>
                <c:formatCode>General</c:formatCode>
                <c:ptCount val="15"/>
                <c:pt idx="1">
                  <c:v>0</c:v>
                </c:pt>
                <c:pt idx="3">
                  <c:v>169644</c:v>
                </c:pt>
                <c:pt idx="4">
                  <c:v>307.05564000000004</c:v>
                </c:pt>
                <c:pt idx="5">
                  <c:v>1884.7448399999998</c:v>
                </c:pt>
                <c:pt idx="6">
                  <c:v>824.46984000000009</c:v>
                </c:pt>
                <c:pt idx="7">
                  <c:v>3016.2703200000001</c:v>
                </c:pt>
                <c:pt idx="8">
                  <c:v>2714.3040000000001</c:v>
                </c:pt>
                <c:pt idx="9">
                  <c:v>3.6007595317252596E-2</c:v>
                </c:pt>
              </c:numCache>
            </c:numRef>
          </c:val>
          <c:smooth val="0"/>
        </c:ser>
        <c:ser>
          <c:idx val="43"/>
          <c:order val="43"/>
          <c:marker>
            <c:symbol val="none"/>
          </c:marker>
          <c:val>
            <c:numRef>
              <c:f>'May-26'!$A$44:$O$44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4"/>
          <c:order val="44"/>
          <c:marker>
            <c:symbol val="none"/>
          </c:marker>
          <c:val>
            <c:numRef>
              <c:f>'May-26'!$A$45:$O$45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5"/>
          <c:order val="45"/>
          <c:marker>
            <c:symbol val="none"/>
          </c:marker>
          <c:val>
            <c:numRef>
              <c:f>'May-26'!$A$46:$O$46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6"/>
          <c:order val="46"/>
          <c:marker>
            <c:symbol val="none"/>
          </c:marker>
          <c:val>
            <c:numRef>
              <c:f>'May-26'!$A$47:$O$47</c:f>
              <c:numCache>
                <c:formatCode>General</c:formatCode>
                <c:ptCount val="15"/>
                <c:pt idx="4">
                  <c:v>457.47076000000004</c:v>
                </c:pt>
                <c:pt idx="5">
                  <c:v>2808.63418</c:v>
                </c:pt>
                <c:pt idx="6">
                  <c:v>1230.1287200000002</c:v>
                </c:pt>
                <c:pt idx="8">
                  <c:v>3800.1406245049802</c:v>
                </c:pt>
              </c:numCache>
            </c:numRef>
          </c:val>
          <c:smooth val="0"/>
        </c:ser>
        <c:ser>
          <c:idx val="47"/>
          <c:order val="47"/>
          <c:marker>
            <c:symbol val="none"/>
          </c:marker>
          <c:val>
            <c:numRef>
              <c:f>'May-26'!$A$48:$O$48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8"/>
          <c:order val="48"/>
          <c:marker>
            <c:symbol val="none"/>
          </c:marker>
          <c:val>
            <c:numRef>
              <c:f>'May-26'!$A$49:$O$49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9"/>
          <c:order val="49"/>
          <c:marker>
            <c:symbol val="none"/>
          </c:marker>
          <c:val>
            <c:numRef>
              <c:f>'May-26'!$A$50:$O$50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0"/>
          <c:order val="50"/>
          <c:marker>
            <c:symbol val="none"/>
          </c:marker>
          <c:val>
            <c:numRef>
              <c:f>'May-26'!$A$51:$O$51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ser>
          <c:idx val="51"/>
          <c:order val="51"/>
          <c:marker>
            <c:symbol val="none"/>
          </c:marker>
          <c:val>
            <c:numRef>
              <c:f>'May-26'!$A$52:$O$52</c:f>
              <c:numCache>
                <c:formatCode>General</c:formatCode>
                <c:ptCount val="15"/>
                <c:pt idx="1">
                  <c:v>0</c:v>
                </c:pt>
                <c:pt idx="2">
                  <c:v>260890</c:v>
                </c:pt>
                <c:pt idx="3">
                  <c:v>441.56032000000005</c:v>
                </c:pt>
                <c:pt idx="4">
                  <c:v>105974.4768</c:v>
                </c:pt>
                <c:pt idx="5">
                  <c:v>2710.8986199999999</c:v>
                </c:pt>
                <c:pt idx="6">
                  <c:v>146388.52548000001</c:v>
                </c:pt>
                <c:pt idx="7">
                  <c:v>1187.3831600000001</c:v>
                </c:pt>
                <c:pt idx="8">
                  <c:v>3562.14948</c:v>
                </c:pt>
              </c:numCache>
            </c:numRef>
          </c:val>
          <c:smooth val="0"/>
        </c:ser>
        <c:ser>
          <c:idx val="52"/>
          <c:order val="52"/>
          <c:marker>
            <c:symbol val="none"/>
          </c:marker>
          <c:val>
            <c:numRef>
              <c:f>'May-26'!$A$53:$O$53</c:f>
              <c:numCache>
                <c:formatCode>General</c:formatCode>
                <c:ptCount val="15"/>
                <c:pt idx="1">
                  <c:v>0</c:v>
                </c:pt>
                <c:pt idx="2">
                  <c:v>7332</c:v>
                </c:pt>
                <c:pt idx="3">
                  <c:v>15.910439999999999</c:v>
                </c:pt>
                <c:pt idx="4">
                  <c:v>3818.5056</c:v>
                </c:pt>
                <c:pt idx="5">
                  <c:v>97.735559999999992</c:v>
                </c:pt>
                <c:pt idx="6">
                  <c:v>5277.7202399999996</c:v>
                </c:pt>
                <c:pt idx="7">
                  <c:v>42.745559999999998</c:v>
                </c:pt>
                <c:pt idx="8">
                  <c:v>128.23667999999998</c:v>
                </c:pt>
              </c:numCache>
            </c:numRef>
          </c:val>
          <c:smooth val="0"/>
        </c:ser>
        <c:ser>
          <c:idx val="53"/>
          <c:order val="53"/>
          <c:marker>
            <c:symbol val="none"/>
          </c:marker>
          <c:val>
            <c:numRef>
              <c:f>'May-26'!$A$54:$O$54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4"/>
          <c:order val="54"/>
          <c:marker>
            <c:symbol val="none"/>
          </c:marker>
          <c:val>
            <c:numRef>
              <c:f>'May-26'!$A$55:$O$55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5"/>
          <c:order val="55"/>
          <c:marker>
            <c:symbol val="none"/>
          </c:marker>
          <c:val>
            <c:numRef>
              <c:f>'May-26'!$A$56:$O$56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6"/>
          <c:order val="56"/>
          <c:marker>
            <c:symbol val="none"/>
          </c:marker>
          <c:val>
            <c:numRef>
              <c:f>'May-26'!$A$57:$O$57</c:f>
              <c:numCache>
                <c:formatCode>General</c:formatCode>
                <c:ptCount val="1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78208"/>
        <c:axId val="84488192"/>
      </c:lineChart>
      <c:catAx>
        <c:axId val="84478208"/>
        <c:scaling>
          <c:orientation val="minMax"/>
        </c:scaling>
        <c:delete val="0"/>
        <c:axPos val="b"/>
        <c:majorTickMark val="out"/>
        <c:minorTickMark val="none"/>
        <c:tickLblPos val="nextTo"/>
        <c:crossAx val="84488192"/>
        <c:crosses val="autoZero"/>
        <c:auto val="1"/>
        <c:lblAlgn val="ctr"/>
        <c:lblOffset val="100"/>
        <c:noMultiLvlLbl val="0"/>
      </c:catAx>
      <c:valAx>
        <c:axId val="8448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47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'June-26'!$A$1:$O$1</c:f>
              <c:numCache>
                <c:formatCode>General</c:formatCode>
                <c:ptCount val="15"/>
                <c:pt idx="0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'June-26'!$A$2:$O$2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'June-26'!$A$3:$O$3</c:f>
              <c:numCache>
                <c:formatCode>General</c:formatCode>
                <c:ptCount val="15"/>
                <c:pt idx="0">
                  <c:v>1</c:v>
                </c:pt>
                <c:pt idx="2">
                  <c:v>4640</c:v>
                </c:pt>
                <c:pt idx="3">
                  <c:v>9396</c:v>
                </c:pt>
                <c:pt idx="9">
                  <c:v>14036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'June-26'!$A$4:$O$4</c:f>
              <c:numCache>
                <c:formatCode>General</c:formatCode>
                <c:ptCount val="15"/>
                <c:pt idx="0">
                  <c:v>2</c:v>
                </c:pt>
                <c:pt idx="3">
                  <c:v>9348</c:v>
                </c:pt>
                <c:pt idx="9">
                  <c:v>9348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'June-26'!$A$5:$O$5</c:f>
              <c:numCache>
                <c:formatCode>General</c:formatCode>
                <c:ptCount val="15"/>
                <c:pt idx="0">
                  <c:v>3</c:v>
                </c:pt>
                <c:pt idx="2">
                  <c:v>880</c:v>
                </c:pt>
                <c:pt idx="3">
                  <c:v>8616</c:v>
                </c:pt>
                <c:pt idx="9">
                  <c:v>9496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'June-26'!$A$6:$O$6</c:f>
              <c:numCache>
                <c:formatCode>General</c:formatCode>
                <c:ptCount val="15"/>
                <c:pt idx="0">
                  <c:v>4</c:v>
                </c:pt>
                <c:pt idx="3">
                  <c:v>9336</c:v>
                </c:pt>
                <c:pt idx="9">
                  <c:v>9336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'June-26'!$A$7:$O$7</c:f>
              <c:numCache>
                <c:formatCode>General</c:formatCode>
                <c:ptCount val="15"/>
                <c:pt idx="0">
                  <c:v>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'June-26'!$A$8:$O$8</c:f>
              <c:numCache>
                <c:formatCode>General</c:formatCode>
                <c:ptCount val="15"/>
                <c:pt idx="0">
                  <c:v>6</c:v>
                </c:pt>
                <c:pt idx="2">
                  <c:v>4544</c:v>
                </c:pt>
                <c:pt idx="3">
                  <c:v>9360</c:v>
                </c:pt>
                <c:pt idx="9">
                  <c:v>13904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'June-26'!$A$9:$O$9</c:f>
              <c:numCache>
                <c:formatCode>General</c:formatCode>
                <c:ptCount val="15"/>
                <c:pt idx="0">
                  <c:v>7</c:v>
                </c:pt>
                <c:pt idx="3">
                  <c:v>9420</c:v>
                </c:pt>
                <c:pt idx="9">
                  <c:v>9420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'June-26'!$A$10:$O$10</c:f>
              <c:numCache>
                <c:formatCode>General</c:formatCode>
                <c:ptCount val="15"/>
                <c:pt idx="0">
                  <c:v>8</c:v>
                </c:pt>
                <c:pt idx="2">
                  <c:v>4752</c:v>
                </c:pt>
                <c:pt idx="3">
                  <c:v>10272</c:v>
                </c:pt>
                <c:pt idx="9">
                  <c:v>15024</c:v>
                </c:pt>
              </c:numCache>
            </c:numRef>
          </c:val>
          <c:smooth val="0"/>
        </c:ser>
        <c:ser>
          <c:idx val="10"/>
          <c:order val="10"/>
          <c:marker>
            <c:symbol val="none"/>
          </c:marker>
          <c:val>
            <c:numRef>
              <c:f>'June-26'!$A$11:$O$11</c:f>
              <c:numCache>
                <c:formatCode>General</c:formatCode>
                <c:ptCount val="15"/>
                <c:pt idx="0">
                  <c:v>9</c:v>
                </c:pt>
                <c:pt idx="2">
                  <c:v>3168</c:v>
                </c:pt>
                <c:pt idx="3">
                  <c:v>9264</c:v>
                </c:pt>
                <c:pt idx="9">
                  <c:v>12432</c:v>
                </c:pt>
              </c:numCache>
            </c:numRef>
          </c:val>
          <c:smooth val="0"/>
        </c:ser>
        <c:ser>
          <c:idx val="11"/>
          <c:order val="11"/>
          <c:marker>
            <c:symbol val="none"/>
          </c:marker>
          <c:val>
            <c:numRef>
              <c:f>'June-26'!$A$12:$O$12</c:f>
              <c:numCache>
                <c:formatCode>General</c:formatCode>
                <c:ptCount val="15"/>
                <c:pt idx="0">
                  <c:v>10</c:v>
                </c:pt>
                <c:pt idx="2">
                  <c:v>2880</c:v>
                </c:pt>
                <c:pt idx="3">
                  <c:v>9240</c:v>
                </c:pt>
                <c:pt idx="9">
                  <c:v>12120</c:v>
                </c:pt>
              </c:numCache>
            </c:numRef>
          </c:val>
          <c:smooth val="0"/>
        </c:ser>
        <c:ser>
          <c:idx val="12"/>
          <c:order val="12"/>
          <c:marker>
            <c:symbol val="none"/>
          </c:marker>
          <c:val>
            <c:numRef>
              <c:f>'June-26'!$A$13:$O$13</c:f>
              <c:numCache>
                <c:formatCode>General</c:formatCode>
                <c:ptCount val="15"/>
                <c:pt idx="0">
                  <c:v>11</c:v>
                </c:pt>
                <c:pt idx="1">
                  <c:v>16874</c:v>
                </c:pt>
                <c:pt idx="9">
                  <c:v>16874</c:v>
                </c:pt>
              </c:numCache>
            </c:numRef>
          </c:val>
          <c:smooth val="0"/>
        </c:ser>
        <c:ser>
          <c:idx val="13"/>
          <c:order val="13"/>
          <c:marker>
            <c:symbol val="none"/>
          </c:marker>
          <c:val>
            <c:numRef>
              <c:f>'June-26'!$A$14:$O$14</c:f>
              <c:numCache>
                <c:formatCode>General</c:formatCode>
                <c:ptCount val="15"/>
                <c:pt idx="0">
                  <c:v>12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4"/>
          <c:order val="14"/>
          <c:marker>
            <c:symbol val="none"/>
          </c:marker>
          <c:val>
            <c:numRef>
              <c:f>'June-26'!$A$15:$O$15</c:f>
              <c:numCache>
                <c:formatCode>General</c:formatCode>
                <c:ptCount val="15"/>
                <c:pt idx="0">
                  <c:v>13</c:v>
                </c:pt>
                <c:pt idx="3">
                  <c:v>9216</c:v>
                </c:pt>
                <c:pt idx="9">
                  <c:v>9216</c:v>
                </c:pt>
              </c:numCache>
            </c:numRef>
          </c:val>
          <c:smooth val="0"/>
        </c:ser>
        <c:ser>
          <c:idx val="15"/>
          <c:order val="15"/>
          <c:marker>
            <c:symbol val="none"/>
          </c:marker>
          <c:val>
            <c:numRef>
              <c:f>'June-26'!$A$16:$O$16</c:f>
              <c:numCache>
                <c:formatCode>General</c:formatCode>
                <c:ptCount val="15"/>
                <c:pt idx="0">
                  <c:v>14</c:v>
                </c:pt>
                <c:pt idx="2">
                  <c:v>3888</c:v>
                </c:pt>
                <c:pt idx="3">
                  <c:v>8220</c:v>
                </c:pt>
                <c:pt idx="9">
                  <c:v>12108</c:v>
                </c:pt>
              </c:numCache>
            </c:numRef>
          </c:val>
          <c:smooth val="0"/>
        </c:ser>
        <c:ser>
          <c:idx val="16"/>
          <c:order val="16"/>
          <c:marker>
            <c:symbol val="none"/>
          </c:marker>
          <c:val>
            <c:numRef>
              <c:f>'June-26'!$A$17:$O$17</c:f>
              <c:numCache>
                <c:formatCode>General</c:formatCode>
                <c:ptCount val="15"/>
                <c:pt idx="0">
                  <c:v>15</c:v>
                </c:pt>
                <c:pt idx="2">
                  <c:v>5040</c:v>
                </c:pt>
                <c:pt idx="3">
                  <c:v>8232</c:v>
                </c:pt>
                <c:pt idx="9">
                  <c:v>13272</c:v>
                </c:pt>
              </c:numCache>
            </c:numRef>
          </c:val>
          <c:smooth val="0"/>
        </c:ser>
        <c:ser>
          <c:idx val="17"/>
          <c:order val="17"/>
          <c:marker>
            <c:symbol val="none"/>
          </c:marker>
          <c:val>
            <c:numRef>
              <c:f>'June-26'!$A$18:$O$18</c:f>
              <c:numCache>
                <c:formatCode>General</c:formatCode>
                <c:ptCount val="15"/>
                <c:pt idx="0">
                  <c:v>16</c:v>
                </c:pt>
                <c:pt idx="2">
                  <c:v>4688</c:v>
                </c:pt>
                <c:pt idx="3">
                  <c:v>8268</c:v>
                </c:pt>
                <c:pt idx="9">
                  <c:v>12956</c:v>
                </c:pt>
              </c:numCache>
            </c:numRef>
          </c:val>
          <c:smooth val="0"/>
        </c:ser>
        <c:ser>
          <c:idx val="18"/>
          <c:order val="18"/>
          <c:marker>
            <c:symbol val="none"/>
          </c:marker>
          <c:val>
            <c:numRef>
              <c:f>'June-26'!$A$19:$O$19</c:f>
              <c:numCache>
                <c:formatCode>General</c:formatCode>
                <c:ptCount val="15"/>
                <c:pt idx="0">
                  <c:v>17</c:v>
                </c:pt>
                <c:pt idx="2">
                  <c:v>1664</c:v>
                </c:pt>
                <c:pt idx="3">
                  <c:v>5952</c:v>
                </c:pt>
                <c:pt idx="9">
                  <c:v>7616</c:v>
                </c:pt>
              </c:numCache>
            </c:numRef>
          </c:val>
          <c:smooth val="0"/>
        </c:ser>
        <c:ser>
          <c:idx val="19"/>
          <c:order val="19"/>
          <c:marker>
            <c:symbol val="none"/>
          </c:marker>
          <c:val>
            <c:numRef>
              <c:f>'June-26'!$A$20:$O$20</c:f>
              <c:numCache>
                <c:formatCode>General</c:formatCode>
                <c:ptCount val="15"/>
                <c:pt idx="0">
                  <c:v>18</c:v>
                </c:pt>
                <c:pt idx="1">
                  <c:v>15642</c:v>
                </c:pt>
                <c:pt idx="9">
                  <c:v>15642</c:v>
                </c:pt>
              </c:numCache>
            </c:numRef>
          </c:val>
          <c:smooth val="0"/>
        </c:ser>
        <c:ser>
          <c:idx val="20"/>
          <c:order val="20"/>
          <c:marker>
            <c:symbol val="none"/>
          </c:marker>
          <c:val>
            <c:numRef>
              <c:f>'June-26'!$A$21:$O$21</c:f>
              <c:numCache>
                <c:formatCode>General</c:formatCode>
                <c:ptCount val="15"/>
                <c:pt idx="0">
                  <c:v>19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1"/>
          <c:order val="21"/>
          <c:marker>
            <c:symbol val="none"/>
          </c:marker>
          <c:val>
            <c:numRef>
              <c:f>'June-26'!$A$22:$O$22</c:f>
              <c:numCache>
                <c:formatCode>General</c:formatCode>
                <c:ptCount val="15"/>
                <c:pt idx="0">
                  <c:v>20</c:v>
                </c:pt>
                <c:pt idx="2">
                  <c:v>5088</c:v>
                </c:pt>
                <c:pt idx="3">
                  <c:v>9324</c:v>
                </c:pt>
                <c:pt idx="9">
                  <c:v>14412</c:v>
                </c:pt>
              </c:numCache>
            </c:numRef>
          </c:val>
          <c:smooth val="0"/>
        </c:ser>
        <c:ser>
          <c:idx val="22"/>
          <c:order val="22"/>
          <c:marker>
            <c:symbol val="none"/>
          </c:marker>
          <c:val>
            <c:numRef>
              <c:f>'June-26'!$A$23:$O$23</c:f>
              <c:numCache>
                <c:formatCode>General</c:formatCode>
                <c:ptCount val="15"/>
                <c:pt idx="0">
                  <c:v>21</c:v>
                </c:pt>
                <c:pt idx="2">
                  <c:v>4704</c:v>
                </c:pt>
                <c:pt idx="3">
                  <c:v>9084</c:v>
                </c:pt>
                <c:pt idx="9">
                  <c:v>13788</c:v>
                </c:pt>
              </c:numCache>
            </c:numRef>
          </c:val>
          <c:smooth val="0"/>
        </c:ser>
        <c:ser>
          <c:idx val="23"/>
          <c:order val="23"/>
          <c:marker>
            <c:symbol val="none"/>
          </c:marker>
          <c:val>
            <c:numRef>
              <c:f>'June-26'!$A$24:$O$24</c:f>
              <c:numCache>
                <c:formatCode>General</c:formatCode>
                <c:ptCount val="15"/>
                <c:pt idx="0">
                  <c:v>22</c:v>
                </c:pt>
                <c:pt idx="2">
                  <c:v>5040</c:v>
                </c:pt>
                <c:pt idx="3">
                  <c:v>9180</c:v>
                </c:pt>
                <c:pt idx="9">
                  <c:v>14220</c:v>
                </c:pt>
              </c:numCache>
            </c:numRef>
          </c:val>
          <c:smooth val="0"/>
        </c:ser>
        <c:ser>
          <c:idx val="24"/>
          <c:order val="24"/>
          <c:marker>
            <c:symbol val="none"/>
          </c:marker>
          <c:val>
            <c:numRef>
              <c:f>'June-26'!$A$25:$O$25</c:f>
              <c:numCache>
                <c:formatCode>General</c:formatCode>
                <c:ptCount val="15"/>
                <c:pt idx="0">
                  <c:v>23</c:v>
                </c:pt>
                <c:pt idx="2">
                  <c:v>4160</c:v>
                </c:pt>
                <c:pt idx="3">
                  <c:v>6660</c:v>
                </c:pt>
                <c:pt idx="9">
                  <c:v>10820</c:v>
                </c:pt>
              </c:numCache>
            </c:numRef>
          </c:val>
          <c:smooth val="0"/>
        </c:ser>
        <c:ser>
          <c:idx val="25"/>
          <c:order val="25"/>
          <c:marker>
            <c:symbol val="none"/>
          </c:marker>
          <c:val>
            <c:numRef>
              <c:f>'June-26'!$A$26:$O$26</c:f>
              <c:numCache>
                <c:formatCode>General</c:formatCode>
                <c:ptCount val="15"/>
                <c:pt idx="0">
                  <c:v>24</c:v>
                </c:pt>
                <c:pt idx="2">
                  <c:v>4400</c:v>
                </c:pt>
                <c:pt idx="3">
                  <c:v>8040</c:v>
                </c:pt>
                <c:pt idx="9">
                  <c:v>12440</c:v>
                </c:pt>
              </c:numCache>
            </c:numRef>
          </c:val>
          <c:smooth val="0"/>
        </c:ser>
        <c:ser>
          <c:idx val="26"/>
          <c:order val="26"/>
          <c:marker>
            <c:symbol val="none"/>
          </c:marker>
          <c:val>
            <c:numRef>
              <c:f>'June-26'!$A$27:$O$27</c:f>
              <c:numCache>
                <c:formatCode>General</c:formatCode>
                <c:ptCount val="15"/>
                <c:pt idx="0">
                  <c:v>25</c:v>
                </c:pt>
                <c:pt idx="3">
                  <c:v>9408</c:v>
                </c:pt>
                <c:pt idx="9">
                  <c:v>9408</c:v>
                </c:pt>
              </c:numCache>
            </c:numRef>
          </c:val>
          <c:smooth val="0"/>
        </c:ser>
        <c:ser>
          <c:idx val="27"/>
          <c:order val="27"/>
          <c:marker>
            <c:symbol val="none"/>
          </c:marker>
          <c:val>
            <c:numRef>
              <c:f>'June-26'!$A$28:$O$28</c:f>
              <c:numCache>
                <c:formatCode>General</c:formatCode>
                <c:ptCount val="15"/>
                <c:pt idx="0">
                  <c:v>26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8"/>
          <c:order val="28"/>
          <c:marker>
            <c:symbol val="none"/>
          </c:marker>
          <c:val>
            <c:numRef>
              <c:f>'June-26'!$A$29:$O$29</c:f>
              <c:numCache>
                <c:formatCode>General</c:formatCode>
                <c:ptCount val="15"/>
                <c:pt idx="0">
                  <c:v>27</c:v>
                </c:pt>
                <c:pt idx="2">
                  <c:v>4784</c:v>
                </c:pt>
                <c:pt idx="3">
                  <c:v>7488</c:v>
                </c:pt>
                <c:pt idx="9">
                  <c:v>12272</c:v>
                </c:pt>
              </c:numCache>
            </c:numRef>
          </c:val>
          <c:smooth val="0"/>
        </c:ser>
        <c:ser>
          <c:idx val="29"/>
          <c:order val="29"/>
          <c:marker>
            <c:symbol val="none"/>
          </c:marker>
          <c:val>
            <c:numRef>
              <c:f>'June-26'!$A$30:$O$30</c:f>
              <c:numCache>
                <c:formatCode>General</c:formatCode>
                <c:ptCount val="15"/>
                <c:pt idx="0">
                  <c:v>28</c:v>
                </c:pt>
                <c:pt idx="3">
                  <c:v>9300</c:v>
                </c:pt>
                <c:pt idx="9">
                  <c:v>9300</c:v>
                </c:pt>
              </c:numCache>
            </c:numRef>
          </c:val>
          <c:smooth val="0"/>
        </c:ser>
        <c:ser>
          <c:idx val="30"/>
          <c:order val="30"/>
          <c:marker>
            <c:symbol val="none"/>
          </c:marker>
          <c:val>
            <c:numRef>
              <c:f>'June-26'!$A$31:$O$31</c:f>
              <c:numCache>
                <c:formatCode>General</c:formatCode>
                <c:ptCount val="15"/>
                <c:pt idx="0">
                  <c:v>29</c:v>
                </c:pt>
                <c:pt idx="2">
                  <c:v>4912</c:v>
                </c:pt>
                <c:pt idx="3">
                  <c:v>8400</c:v>
                </c:pt>
                <c:pt idx="9">
                  <c:v>13312</c:v>
                </c:pt>
              </c:numCache>
            </c:numRef>
          </c:val>
          <c:smooth val="0"/>
        </c:ser>
        <c:ser>
          <c:idx val="31"/>
          <c:order val="31"/>
          <c:marker>
            <c:symbol val="none"/>
          </c:marker>
          <c:val>
            <c:numRef>
              <c:f>'June-26'!$A$32:$O$32</c:f>
              <c:numCache>
                <c:formatCode>General</c:formatCode>
                <c:ptCount val="15"/>
                <c:pt idx="0">
                  <c:v>30</c:v>
                </c:pt>
                <c:pt idx="2">
                  <c:v>4832</c:v>
                </c:pt>
                <c:pt idx="3">
                  <c:v>9060</c:v>
                </c:pt>
                <c:pt idx="9">
                  <c:v>13892</c:v>
                </c:pt>
              </c:numCache>
            </c:numRef>
          </c:val>
          <c:smooth val="0"/>
        </c:ser>
        <c:ser>
          <c:idx val="32"/>
          <c:order val="32"/>
          <c:marker>
            <c:symbol val="none"/>
          </c:marker>
          <c:val>
            <c:numRef>
              <c:f>'June-26'!$A$33:$O$33</c:f>
              <c:numCache>
                <c:formatCode>General</c:formatCode>
                <c:ptCount val="15"/>
                <c:pt idx="0">
                  <c:v>31</c:v>
                </c:pt>
                <c:pt idx="9">
                  <c:v>0</c:v>
                </c:pt>
              </c:numCache>
            </c:numRef>
          </c:val>
          <c:smooth val="0"/>
        </c:ser>
        <c:ser>
          <c:idx val="33"/>
          <c:order val="33"/>
          <c:marker>
            <c:symbol val="none"/>
          </c:marker>
          <c:val>
            <c:numRef>
              <c:f>'June-26'!$A$34:$O$34</c:f>
              <c:numCache>
                <c:formatCode>General</c:formatCode>
                <c:ptCount val="15"/>
                <c:pt idx="1">
                  <c:v>32516</c:v>
                </c:pt>
                <c:pt idx="2">
                  <c:v>74064</c:v>
                </c:pt>
                <c:pt idx="3">
                  <c:v>210084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316664</c:v>
                </c:pt>
              </c:numCache>
            </c:numRef>
          </c:val>
          <c:smooth val="0"/>
        </c:ser>
        <c:ser>
          <c:idx val="34"/>
          <c:order val="34"/>
          <c:marker>
            <c:symbol val="none"/>
          </c:marker>
          <c:val>
            <c:numRef>
              <c:f>'June-26'!$A$35:$O$35</c:f>
              <c:numCache>
                <c:formatCode>General</c:formatCode>
                <c:ptCount val="15"/>
                <c:pt idx="1">
                  <c:v>61780.399999999994</c:v>
                </c:pt>
                <c:pt idx="2">
                  <c:v>144424.79999999999</c:v>
                </c:pt>
                <c:pt idx="3">
                  <c:v>420168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626373.19999999995</c:v>
                </c:pt>
                <c:pt idx="10">
                  <c:v>1.9780372887350628</c:v>
                </c:pt>
              </c:numCache>
            </c:numRef>
          </c:val>
          <c:smooth val="0"/>
        </c:ser>
        <c:ser>
          <c:idx val="35"/>
          <c:order val="35"/>
          <c:marker>
            <c:symbol val="none"/>
          </c:marker>
          <c:val>
            <c:numRef>
              <c:f>'June-26'!$A$36:$O$36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6"/>
          <c:order val="36"/>
          <c:marker>
            <c:symbol val="none"/>
          </c:marker>
          <c:val>
            <c:numRef>
              <c:f>'June-26'!$A$37:$O$37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7"/>
          <c:order val="37"/>
          <c:marker>
            <c:symbol val="none"/>
          </c:marker>
          <c:val>
            <c:numRef>
              <c:f>'June-26'!$A$38:$O$38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38"/>
          <c:order val="38"/>
          <c:marker>
            <c:symbol val="none"/>
          </c:marker>
          <c:val>
            <c:numRef>
              <c:f>'June-26'!$A$39:$O$39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39"/>
          <c:order val="39"/>
          <c:marker>
            <c:symbol val="none"/>
          </c:marker>
          <c:val>
            <c:numRef>
              <c:f>'June-26'!$A$40:$O$40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0"/>
          <c:order val="40"/>
          <c:marker>
            <c:symbol val="none"/>
          </c:marker>
          <c:val>
            <c:numRef>
              <c:f>'June-26'!$A$41:$O$41</c:f>
              <c:numCache>
                <c:formatCode>General</c:formatCode>
                <c:ptCount val="15"/>
                <c:pt idx="1">
                  <c:v>0</c:v>
                </c:pt>
                <c:pt idx="3">
                  <c:v>32516</c:v>
                </c:pt>
                <c:pt idx="4">
                  <c:v>41.425384000000001</c:v>
                </c:pt>
                <c:pt idx="5">
                  <c:v>236.39131999999998</c:v>
                </c:pt>
                <c:pt idx="6">
                  <c:v>103.40088</c:v>
                </c:pt>
                <c:pt idx="7">
                  <c:v>381.21758399999999</c:v>
                </c:pt>
                <c:pt idx="8">
                  <c:v>260.12799999999999</c:v>
                </c:pt>
                <c:pt idx="9">
                  <c:v>0</c:v>
                </c:pt>
              </c:numCache>
            </c:numRef>
          </c:val>
          <c:smooth val="0"/>
        </c:ser>
        <c:ser>
          <c:idx val="41"/>
          <c:order val="41"/>
          <c:marker>
            <c:symbol val="none"/>
          </c:marker>
          <c:val>
            <c:numRef>
              <c:f>'June-26'!$A$42:$O$42</c:f>
              <c:numCache>
                <c:formatCode>General</c:formatCode>
                <c:ptCount val="15"/>
                <c:pt idx="1">
                  <c:v>0</c:v>
                </c:pt>
                <c:pt idx="3">
                  <c:v>74064</c:v>
                </c:pt>
                <c:pt idx="4">
                  <c:v>139.98095999999998</c:v>
                </c:pt>
                <c:pt idx="5">
                  <c:v>740.64</c:v>
                </c:pt>
                <c:pt idx="6">
                  <c:v>325.88160000000005</c:v>
                </c:pt>
                <c:pt idx="7">
                  <c:v>1206.5025599999999</c:v>
                </c:pt>
                <c:pt idx="8">
                  <c:v>888.80355214208566</c:v>
                </c:pt>
                <c:pt idx="9">
                  <c:v>0</c:v>
                </c:pt>
              </c:numCache>
            </c:numRef>
          </c:val>
          <c:smooth val="0"/>
        </c:ser>
        <c:ser>
          <c:idx val="42"/>
          <c:order val="42"/>
          <c:marker>
            <c:symbol val="none"/>
          </c:marker>
          <c:val>
            <c:numRef>
              <c:f>'June-26'!$A$43:$O$43</c:f>
              <c:numCache>
                <c:formatCode>General</c:formatCode>
                <c:ptCount val="15"/>
                <c:pt idx="1">
                  <c:v>0</c:v>
                </c:pt>
                <c:pt idx="3">
                  <c:v>210084</c:v>
                </c:pt>
                <c:pt idx="4">
                  <c:v>435.29404800000003</c:v>
                </c:pt>
                <c:pt idx="5">
                  <c:v>2334.0332399999998</c:v>
                </c:pt>
                <c:pt idx="6">
                  <c:v>1021.0082400000001</c:v>
                </c:pt>
                <c:pt idx="7">
                  <c:v>3790.3355280000001</c:v>
                </c:pt>
                <c:pt idx="8">
                  <c:v>3361.3440000000001</c:v>
                </c:pt>
                <c:pt idx="9">
                  <c:v>0</c:v>
                </c:pt>
              </c:numCache>
            </c:numRef>
          </c:val>
          <c:smooth val="0"/>
        </c:ser>
        <c:ser>
          <c:idx val="43"/>
          <c:order val="43"/>
          <c:marker>
            <c:symbol val="none"/>
          </c:marker>
          <c:val>
            <c:numRef>
              <c:f>'June-26'!$A$44:$O$44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4"/>
          <c:order val="44"/>
          <c:marker>
            <c:symbol val="none"/>
          </c:marker>
          <c:val>
            <c:numRef>
              <c:f>'June-26'!$A$45:$O$45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5"/>
          <c:order val="45"/>
          <c:marker>
            <c:symbol val="none"/>
          </c:marker>
          <c:val>
            <c:numRef>
              <c:f>'June-26'!$A$46:$O$46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6"/>
          <c:order val="46"/>
          <c:marker>
            <c:symbol val="none"/>
          </c:marker>
          <c:val>
            <c:numRef>
              <c:f>'June-26'!$A$47:$O$47</c:f>
              <c:numCache>
                <c:formatCode>General</c:formatCode>
                <c:ptCount val="15"/>
                <c:pt idx="4">
                  <c:v>616.70039199999997</c:v>
                </c:pt>
                <c:pt idx="5">
                  <c:v>3311.0645599999998</c:v>
                </c:pt>
                <c:pt idx="6">
                  <c:v>1450.2907200000002</c:v>
                </c:pt>
                <c:pt idx="8">
                  <c:v>4510.2755521420859</c:v>
                </c:pt>
              </c:numCache>
            </c:numRef>
          </c:val>
          <c:smooth val="0"/>
        </c:ser>
        <c:ser>
          <c:idx val="47"/>
          <c:order val="47"/>
          <c:marker>
            <c:symbol val="none"/>
          </c:marker>
          <c:val>
            <c:numRef>
              <c:f>'June-26'!$A$48:$O$48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8"/>
          <c:order val="48"/>
          <c:marker>
            <c:symbol val="none"/>
          </c:marker>
          <c:val>
            <c:numRef>
              <c:f>'June-26'!$A$49:$O$49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9"/>
          <c:order val="49"/>
          <c:marker>
            <c:symbol val="none"/>
          </c:marker>
          <c:val>
            <c:numRef>
              <c:f>'June-26'!$A$50:$O$50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0"/>
          <c:order val="50"/>
          <c:marker>
            <c:symbol val="none"/>
          </c:marker>
          <c:val>
            <c:numRef>
              <c:f>'June-26'!$A$51:$O$51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ser>
          <c:idx val="51"/>
          <c:order val="51"/>
          <c:marker>
            <c:symbol val="none"/>
          </c:marker>
          <c:val>
            <c:numRef>
              <c:f>'June-26'!$A$52:$O$52</c:f>
              <c:numCache>
                <c:formatCode>General</c:formatCode>
                <c:ptCount val="15"/>
                <c:pt idx="1">
                  <c:v>0</c:v>
                </c:pt>
                <c:pt idx="2">
                  <c:v>316664</c:v>
                </c:pt>
                <c:pt idx="3">
                  <c:v>616.70039199999997</c:v>
                </c:pt>
                <c:pt idx="4">
                  <c:v>148008.09407999998</c:v>
                </c:pt>
                <c:pt idx="5">
                  <c:v>3311.0645599999998</c:v>
                </c:pt>
                <c:pt idx="6">
                  <c:v>165553.228</c:v>
                </c:pt>
                <c:pt idx="7">
                  <c:v>1450.2907200000002</c:v>
                </c:pt>
                <c:pt idx="8">
                  <c:v>4350.8721600000008</c:v>
                </c:pt>
              </c:numCache>
            </c:numRef>
          </c:val>
          <c:smooth val="0"/>
        </c:ser>
        <c:ser>
          <c:idx val="52"/>
          <c:order val="52"/>
          <c:marker>
            <c:symbol val="none"/>
          </c:marker>
          <c:val>
            <c:numRef>
              <c:f>'June-26'!$A$53:$O$53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ser>
          <c:idx val="53"/>
          <c:order val="53"/>
          <c:marker>
            <c:symbol val="none"/>
          </c:marker>
          <c:val>
            <c:numRef>
              <c:f>'June-26'!$A$54:$O$54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4"/>
          <c:order val="54"/>
          <c:marker>
            <c:symbol val="none"/>
          </c:marker>
          <c:val>
            <c:numRef>
              <c:f>'June-26'!$A$55:$O$55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5"/>
          <c:order val="55"/>
          <c:marker>
            <c:symbol val="none"/>
          </c:marker>
          <c:val>
            <c:numRef>
              <c:f>'June-26'!$A$56:$O$56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6"/>
          <c:order val="56"/>
          <c:marker>
            <c:symbol val="none"/>
          </c:marker>
          <c:val>
            <c:numRef>
              <c:f>'June-26'!$A$57:$O$57</c:f>
              <c:numCache>
                <c:formatCode>General</c:formatCode>
                <c:ptCount val="1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26624"/>
        <c:axId val="85228160"/>
      </c:lineChart>
      <c:catAx>
        <c:axId val="85226624"/>
        <c:scaling>
          <c:orientation val="minMax"/>
        </c:scaling>
        <c:delete val="0"/>
        <c:axPos val="b"/>
        <c:majorTickMark val="out"/>
        <c:minorTickMark val="none"/>
        <c:tickLblPos val="nextTo"/>
        <c:crossAx val="85228160"/>
        <c:crosses val="autoZero"/>
        <c:auto val="1"/>
        <c:lblAlgn val="ctr"/>
        <c:lblOffset val="100"/>
        <c:noMultiLvlLbl val="0"/>
      </c:catAx>
      <c:valAx>
        <c:axId val="85228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2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'July-26'!$A$1:$O$1</c:f>
              <c:numCache>
                <c:formatCode>General</c:formatCode>
                <c:ptCount val="15"/>
                <c:pt idx="0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'July-26'!$A$2:$O$2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'July-26'!$A$3:$O$3</c:f>
              <c:numCache>
                <c:formatCode>General</c:formatCode>
                <c:ptCount val="15"/>
                <c:pt idx="0">
                  <c:v>1</c:v>
                </c:pt>
                <c:pt idx="2">
                  <c:v>4336</c:v>
                </c:pt>
                <c:pt idx="3">
                  <c:v>8100</c:v>
                </c:pt>
                <c:pt idx="9">
                  <c:v>12436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'July-26'!$A$4:$O$4</c:f>
              <c:numCache>
                <c:formatCode>General</c:formatCode>
                <c:ptCount val="15"/>
                <c:pt idx="0">
                  <c:v>2</c:v>
                </c:pt>
                <c:pt idx="1">
                  <c:v>15026</c:v>
                </c:pt>
                <c:pt idx="9">
                  <c:v>15026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'July-26'!$A$5:$O$5</c:f>
              <c:numCache>
                <c:formatCode>General</c:formatCode>
                <c:ptCount val="15"/>
                <c:pt idx="0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'July-26'!$A$6:$O$6</c:f>
              <c:numCache>
                <c:formatCode>General</c:formatCode>
                <c:ptCount val="15"/>
                <c:pt idx="0">
                  <c:v>4</c:v>
                </c:pt>
                <c:pt idx="3">
                  <c:v>9240</c:v>
                </c:pt>
                <c:pt idx="9">
                  <c:v>9240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'July-26'!$A$7:$O$7</c:f>
              <c:numCache>
                <c:formatCode>General</c:formatCode>
                <c:ptCount val="15"/>
                <c:pt idx="0">
                  <c:v>5</c:v>
                </c:pt>
                <c:pt idx="2">
                  <c:v>4352</c:v>
                </c:pt>
                <c:pt idx="3">
                  <c:v>9072</c:v>
                </c:pt>
                <c:pt idx="9">
                  <c:v>13424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'July-26'!$A$8:$O$8</c:f>
              <c:numCache>
                <c:formatCode>General</c:formatCode>
                <c:ptCount val="15"/>
                <c:pt idx="0">
                  <c:v>6</c:v>
                </c:pt>
                <c:pt idx="2">
                  <c:v>4560</c:v>
                </c:pt>
                <c:pt idx="3">
                  <c:v>8328</c:v>
                </c:pt>
                <c:pt idx="9">
                  <c:v>12888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val>
            <c:numRef>
              <c:f>'July-26'!$A$9:$O$9</c:f>
              <c:numCache>
                <c:formatCode>General</c:formatCode>
                <c:ptCount val="15"/>
                <c:pt idx="0">
                  <c:v>7</c:v>
                </c:pt>
                <c:pt idx="2">
                  <c:v>2720</c:v>
                </c:pt>
                <c:pt idx="3">
                  <c:v>7260</c:v>
                </c:pt>
                <c:pt idx="9">
                  <c:v>9980</c:v>
                </c:pt>
              </c:numCache>
            </c:numRef>
          </c:val>
          <c:smooth val="0"/>
        </c:ser>
        <c:ser>
          <c:idx val="9"/>
          <c:order val="9"/>
          <c:marker>
            <c:symbol val="none"/>
          </c:marker>
          <c:val>
            <c:numRef>
              <c:f>'July-26'!$A$10:$O$10</c:f>
              <c:numCache>
                <c:formatCode>General</c:formatCode>
                <c:ptCount val="15"/>
                <c:pt idx="0">
                  <c:v>8</c:v>
                </c:pt>
                <c:pt idx="3">
                  <c:v>7920</c:v>
                </c:pt>
                <c:pt idx="9">
                  <c:v>7920</c:v>
                </c:pt>
              </c:numCache>
            </c:numRef>
          </c:val>
          <c:smooth val="0"/>
        </c:ser>
        <c:ser>
          <c:idx val="10"/>
          <c:order val="10"/>
          <c:marker>
            <c:symbol val="none"/>
          </c:marker>
          <c:val>
            <c:numRef>
              <c:f>'July-26'!$A$11:$O$11</c:f>
              <c:numCache>
                <c:formatCode>General</c:formatCode>
                <c:ptCount val="15"/>
                <c:pt idx="0">
                  <c:v>9</c:v>
                </c:pt>
                <c:pt idx="5">
                  <c:v>5664</c:v>
                </c:pt>
                <c:pt idx="9">
                  <c:v>5664</c:v>
                </c:pt>
              </c:numCache>
            </c:numRef>
          </c:val>
          <c:smooth val="0"/>
        </c:ser>
        <c:ser>
          <c:idx val="11"/>
          <c:order val="11"/>
          <c:marker>
            <c:symbol val="none"/>
          </c:marker>
          <c:val>
            <c:numRef>
              <c:f>'July-26'!$A$12:$O$12</c:f>
              <c:numCache>
                <c:formatCode>General</c:formatCode>
                <c:ptCount val="15"/>
                <c:pt idx="0">
                  <c:v>10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2"/>
          <c:order val="12"/>
          <c:marker>
            <c:symbol val="none"/>
          </c:marker>
          <c:val>
            <c:numRef>
              <c:f>'July-26'!$A$13:$O$13</c:f>
              <c:numCache>
                <c:formatCode>General</c:formatCode>
                <c:ptCount val="15"/>
                <c:pt idx="0">
                  <c:v>11</c:v>
                </c:pt>
                <c:pt idx="2">
                  <c:v>4032</c:v>
                </c:pt>
                <c:pt idx="3">
                  <c:v>9120</c:v>
                </c:pt>
                <c:pt idx="9">
                  <c:v>13152</c:v>
                </c:pt>
              </c:numCache>
            </c:numRef>
          </c:val>
          <c:smooth val="0"/>
        </c:ser>
        <c:ser>
          <c:idx val="13"/>
          <c:order val="13"/>
          <c:marker>
            <c:symbol val="none"/>
          </c:marker>
          <c:val>
            <c:numRef>
              <c:f>'July-26'!$A$14:$O$14</c:f>
              <c:numCache>
                <c:formatCode>General</c:formatCode>
                <c:ptCount val="15"/>
                <c:pt idx="0">
                  <c:v>12</c:v>
                </c:pt>
                <c:pt idx="2">
                  <c:v>3712</c:v>
                </c:pt>
                <c:pt idx="3">
                  <c:v>8100</c:v>
                </c:pt>
                <c:pt idx="9">
                  <c:v>11812</c:v>
                </c:pt>
              </c:numCache>
            </c:numRef>
          </c:val>
          <c:smooth val="0"/>
        </c:ser>
        <c:ser>
          <c:idx val="14"/>
          <c:order val="14"/>
          <c:marker>
            <c:symbol val="none"/>
          </c:marker>
          <c:val>
            <c:numRef>
              <c:f>'July-26'!$A$15:$O$15</c:f>
              <c:numCache>
                <c:formatCode>General</c:formatCode>
                <c:ptCount val="15"/>
                <c:pt idx="0">
                  <c:v>13</c:v>
                </c:pt>
                <c:pt idx="3">
                  <c:v>9240</c:v>
                </c:pt>
                <c:pt idx="9">
                  <c:v>9240</c:v>
                </c:pt>
              </c:numCache>
            </c:numRef>
          </c:val>
          <c:smooth val="0"/>
        </c:ser>
        <c:ser>
          <c:idx val="15"/>
          <c:order val="15"/>
          <c:marker>
            <c:symbol val="none"/>
          </c:marker>
          <c:val>
            <c:numRef>
              <c:f>'July-26'!$A$16:$O$16</c:f>
              <c:numCache>
                <c:formatCode>General</c:formatCode>
                <c:ptCount val="15"/>
                <c:pt idx="0">
                  <c:v>14</c:v>
                </c:pt>
                <c:pt idx="2">
                  <c:v>2880</c:v>
                </c:pt>
                <c:pt idx="3">
                  <c:v>9048</c:v>
                </c:pt>
                <c:pt idx="9">
                  <c:v>11928</c:v>
                </c:pt>
              </c:numCache>
            </c:numRef>
          </c:val>
          <c:smooth val="0"/>
        </c:ser>
        <c:ser>
          <c:idx val="16"/>
          <c:order val="16"/>
          <c:marker>
            <c:symbol val="none"/>
          </c:marker>
          <c:val>
            <c:numRef>
              <c:f>'July-26'!$A$17:$O$17</c:f>
              <c:numCache>
                <c:formatCode>General</c:formatCode>
                <c:ptCount val="15"/>
                <c:pt idx="0">
                  <c:v>15</c:v>
                </c:pt>
                <c:pt idx="2">
                  <c:v>3264</c:v>
                </c:pt>
                <c:pt idx="3">
                  <c:v>7980</c:v>
                </c:pt>
                <c:pt idx="9">
                  <c:v>11244</c:v>
                </c:pt>
              </c:numCache>
            </c:numRef>
          </c:val>
          <c:smooth val="0"/>
        </c:ser>
        <c:ser>
          <c:idx val="17"/>
          <c:order val="17"/>
          <c:marker>
            <c:symbol val="none"/>
          </c:marker>
          <c:val>
            <c:numRef>
              <c:f>'July-26'!$A$18:$O$18</c:f>
              <c:numCache>
                <c:formatCode>General</c:formatCode>
                <c:ptCount val="15"/>
                <c:pt idx="0">
                  <c:v>16</c:v>
                </c:pt>
                <c:pt idx="5">
                  <c:v>4248</c:v>
                </c:pt>
                <c:pt idx="9">
                  <c:v>4248</c:v>
                </c:pt>
              </c:numCache>
            </c:numRef>
          </c:val>
          <c:smooth val="0"/>
        </c:ser>
        <c:ser>
          <c:idx val="18"/>
          <c:order val="18"/>
          <c:marker>
            <c:symbol val="none"/>
          </c:marker>
          <c:val>
            <c:numRef>
              <c:f>'July-26'!$A$19:$O$19</c:f>
              <c:numCache>
                <c:formatCode>General</c:formatCode>
                <c:ptCount val="15"/>
                <c:pt idx="0">
                  <c:v>17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9"/>
          <c:order val="19"/>
          <c:marker>
            <c:symbol val="none"/>
          </c:marker>
          <c:val>
            <c:numRef>
              <c:f>'July-26'!$A$20:$O$20</c:f>
              <c:numCache>
                <c:formatCode>General</c:formatCode>
                <c:ptCount val="15"/>
                <c:pt idx="0">
                  <c:v>18</c:v>
                </c:pt>
                <c:pt idx="2">
                  <c:v>3968</c:v>
                </c:pt>
                <c:pt idx="3">
                  <c:v>8124</c:v>
                </c:pt>
                <c:pt idx="9">
                  <c:v>12092</c:v>
                </c:pt>
              </c:numCache>
            </c:numRef>
          </c:val>
          <c:smooth val="0"/>
        </c:ser>
        <c:ser>
          <c:idx val="20"/>
          <c:order val="20"/>
          <c:marker>
            <c:symbol val="none"/>
          </c:marker>
          <c:val>
            <c:numRef>
              <c:f>'July-26'!$A$21:$O$21</c:f>
              <c:numCache>
                <c:formatCode>General</c:formatCode>
                <c:ptCount val="15"/>
                <c:pt idx="0">
                  <c:v>19</c:v>
                </c:pt>
                <c:pt idx="3">
                  <c:v>8988</c:v>
                </c:pt>
                <c:pt idx="9">
                  <c:v>8988</c:v>
                </c:pt>
              </c:numCache>
            </c:numRef>
          </c:val>
          <c:smooth val="0"/>
        </c:ser>
        <c:ser>
          <c:idx val="21"/>
          <c:order val="21"/>
          <c:marker>
            <c:symbol val="none"/>
          </c:marker>
          <c:val>
            <c:numRef>
              <c:f>'July-26'!$A$22:$O$22</c:f>
              <c:numCache>
                <c:formatCode>General</c:formatCode>
                <c:ptCount val="15"/>
                <c:pt idx="0">
                  <c:v>20</c:v>
                </c:pt>
                <c:pt idx="2">
                  <c:v>3072</c:v>
                </c:pt>
                <c:pt idx="3">
                  <c:v>6000</c:v>
                </c:pt>
                <c:pt idx="9">
                  <c:v>9072</c:v>
                </c:pt>
              </c:numCache>
            </c:numRef>
          </c:val>
          <c:smooth val="0"/>
        </c:ser>
        <c:ser>
          <c:idx val="22"/>
          <c:order val="22"/>
          <c:marker>
            <c:symbol val="none"/>
          </c:marker>
          <c:val>
            <c:numRef>
              <c:f>'July-26'!$A$23:$O$23</c:f>
              <c:numCache>
                <c:formatCode>General</c:formatCode>
                <c:ptCount val="15"/>
                <c:pt idx="0">
                  <c:v>21</c:v>
                </c:pt>
                <c:pt idx="2">
                  <c:v>4160</c:v>
                </c:pt>
                <c:pt idx="3">
                  <c:v>4140</c:v>
                </c:pt>
                <c:pt idx="9">
                  <c:v>8300</c:v>
                </c:pt>
              </c:numCache>
            </c:numRef>
          </c:val>
          <c:smooth val="0"/>
        </c:ser>
        <c:ser>
          <c:idx val="23"/>
          <c:order val="23"/>
          <c:marker>
            <c:symbol val="none"/>
          </c:marker>
          <c:val>
            <c:numRef>
              <c:f>'July-26'!$A$24:$O$24</c:f>
              <c:numCache>
                <c:formatCode>General</c:formatCode>
                <c:ptCount val="15"/>
                <c:pt idx="0">
                  <c:v>22</c:v>
                </c:pt>
                <c:pt idx="2">
                  <c:v>2432</c:v>
                </c:pt>
                <c:pt idx="3">
                  <c:v>7920</c:v>
                </c:pt>
                <c:pt idx="9">
                  <c:v>10352</c:v>
                </c:pt>
              </c:numCache>
            </c:numRef>
          </c:val>
          <c:smooth val="0"/>
        </c:ser>
        <c:ser>
          <c:idx val="24"/>
          <c:order val="24"/>
          <c:marker>
            <c:symbol val="none"/>
          </c:marker>
          <c:val>
            <c:numRef>
              <c:f>'July-26'!$A$25:$O$25</c:f>
              <c:numCache>
                <c:formatCode>General</c:formatCode>
                <c:ptCount val="15"/>
                <c:pt idx="0">
                  <c:v>23</c:v>
                </c:pt>
                <c:pt idx="2">
                  <c:v>0</c:v>
                </c:pt>
                <c:pt idx="3">
                  <c:v>8268</c:v>
                </c:pt>
                <c:pt idx="9">
                  <c:v>8268</c:v>
                </c:pt>
              </c:numCache>
            </c:numRef>
          </c:val>
          <c:smooth val="0"/>
        </c:ser>
        <c:ser>
          <c:idx val="25"/>
          <c:order val="25"/>
          <c:marker>
            <c:symbol val="none"/>
          </c:marker>
          <c:val>
            <c:numRef>
              <c:f>'July-26'!$A$26:$O$26</c:f>
              <c:numCache>
                <c:formatCode>General</c:formatCode>
                <c:ptCount val="15"/>
                <c:pt idx="0">
                  <c:v>24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26"/>
          <c:order val="26"/>
          <c:marker>
            <c:symbol val="none"/>
          </c:marker>
          <c:val>
            <c:numRef>
              <c:f>'July-26'!$A$27:$O$27</c:f>
              <c:numCache>
                <c:formatCode>General</c:formatCode>
                <c:ptCount val="15"/>
                <c:pt idx="0">
                  <c:v>25</c:v>
                </c:pt>
                <c:pt idx="2">
                  <c:v>4208</c:v>
                </c:pt>
                <c:pt idx="3">
                  <c:v>8064</c:v>
                </c:pt>
                <c:pt idx="9">
                  <c:v>12272</c:v>
                </c:pt>
              </c:numCache>
            </c:numRef>
          </c:val>
          <c:smooth val="0"/>
        </c:ser>
        <c:ser>
          <c:idx val="27"/>
          <c:order val="27"/>
          <c:marker>
            <c:symbol val="none"/>
          </c:marker>
          <c:val>
            <c:numRef>
              <c:f>'July-26'!$A$28:$O$28</c:f>
              <c:numCache>
                <c:formatCode>General</c:formatCode>
                <c:ptCount val="15"/>
                <c:pt idx="0">
                  <c:v>26</c:v>
                </c:pt>
                <c:pt idx="2">
                  <c:v>1440</c:v>
                </c:pt>
                <c:pt idx="3">
                  <c:v>8172</c:v>
                </c:pt>
                <c:pt idx="9">
                  <c:v>9612</c:v>
                </c:pt>
              </c:numCache>
            </c:numRef>
          </c:val>
          <c:smooth val="0"/>
        </c:ser>
        <c:ser>
          <c:idx val="28"/>
          <c:order val="28"/>
          <c:marker>
            <c:symbol val="none"/>
          </c:marker>
          <c:val>
            <c:numRef>
              <c:f>'July-26'!$A$29:$O$29</c:f>
              <c:numCache>
                <c:formatCode>General</c:formatCode>
                <c:ptCount val="15"/>
                <c:pt idx="0">
                  <c:v>27</c:v>
                </c:pt>
                <c:pt idx="2">
                  <c:v>3328</c:v>
                </c:pt>
                <c:pt idx="3">
                  <c:v>8028</c:v>
                </c:pt>
                <c:pt idx="9">
                  <c:v>11356</c:v>
                </c:pt>
              </c:numCache>
            </c:numRef>
          </c:val>
          <c:smooth val="0"/>
        </c:ser>
        <c:ser>
          <c:idx val="29"/>
          <c:order val="29"/>
          <c:marker>
            <c:symbol val="none"/>
          </c:marker>
          <c:val>
            <c:numRef>
              <c:f>'July-26'!$A$30:$O$30</c:f>
              <c:numCache>
                <c:formatCode>General</c:formatCode>
                <c:ptCount val="15"/>
                <c:pt idx="0">
                  <c:v>28</c:v>
                </c:pt>
                <c:pt idx="2">
                  <c:v>2256</c:v>
                </c:pt>
                <c:pt idx="3">
                  <c:v>8268</c:v>
                </c:pt>
                <c:pt idx="9">
                  <c:v>10524</c:v>
                </c:pt>
              </c:numCache>
            </c:numRef>
          </c:val>
          <c:smooth val="0"/>
        </c:ser>
        <c:ser>
          <c:idx val="30"/>
          <c:order val="30"/>
          <c:marker>
            <c:symbol val="none"/>
          </c:marker>
          <c:val>
            <c:numRef>
              <c:f>'July-26'!$A$31:$O$31</c:f>
              <c:numCache>
                <c:formatCode>General</c:formatCode>
                <c:ptCount val="15"/>
                <c:pt idx="0">
                  <c:v>29</c:v>
                </c:pt>
                <c:pt idx="3">
                  <c:v>8028</c:v>
                </c:pt>
                <c:pt idx="9">
                  <c:v>8028</c:v>
                </c:pt>
              </c:numCache>
            </c:numRef>
          </c:val>
          <c:smooth val="0"/>
        </c:ser>
        <c:ser>
          <c:idx val="31"/>
          <c:order val="31"/>
          <c:marker>
            <c:symbol val="none"/>
          </c:marker>
          <c:val>
            <c:numRef>
              <c:f>'July-26'!$A$32:$O$32</c:f>
              <c:numCache>
                <c:formatCode>General</c:formatCode>
                <c:ptCount val="15"/>
                <c:pt idx="0">
                  <c:v>30</c:v>
                </c:pt>
                <c:pt idx="1">
                  <c:v>1760</c:v>
                </c:pt>
                <c:pt idx="2">
                  <c:v>9184</c:v>
                </c:pt>
                <c:pt idx="9">
                  <c:v>10944</c:v>
                </c:pt>
              </c:numCache>
            </c:numRef>
          </c:val>
          <c:smooth val="0"/>
        </c:ser>
        <c:ser>
          <c:idx val="32"/>
          <c:order val="32"/>
          <c:marker>
            <c:symbol val="none"/>
          </c:marker>
          <c:val>
            <c:numRef>
              <c:f>'July-26'!$A$33:$O$33</c:f>
              <c:numCache>
                <c:formatCode>General</c:formatCode>
                <c:ptCount val="15"/>
                <c:pt idx="0">
                  <c:v>31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33"/>
          <c:order val="33"/>
          <c:marker>
            <c:symbol val="none"/>
          </c:marker>
          <c:val>
            <c:numRef>
              <c:f>'July-26'!$A$34:$O$34</c:f>
              <c:numCache>
                <c:formatCode>General</c:formatCode>
                <c:ptCount val="15"/>
                <c:pt idx="1">
                  <c:v>16786</c:v>
                </c:pt>
                <c:pt idx="2">
                  <c:v>63904</c:v>
                </c:pt>
                <c:pt idx="3">
                  <c:v>177408</c:v>
                </c:pt>
                <c:pt idx="4">
                  <c:v>0</c:v>
                </c:pt>
                <c:pt idx="5">
                  <c:v>9912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268010</c:v>
                </c:pt>
              </c:numCache>
            </c:numRef>
          </c:val>
          <c:smooth val="0"/>
        </c:ser>
        <c:ser>
          <c:idx val="34"/>
          <c:order val="34"/>
          <c:marker>
            <c:symbol val="none"/>
          </c:marker>
          <c:val>
            <c:numRef>
              <c:f>'July-26'!$A$35:$O$35</c:f>
              <c:numCache>
                <c:formatCode>General</c:formatCode>
                <c:ptCount val="15"/>
                <c:pt idx="1">
                  <c:v>31893.399999999998</c:v>
                </c:pt>
                <c:pt idx="2">
                  <c:v>124612.8</c:v>
                </c:pt>
                <c:pt idx="3">
                  <c:v>354816</c:v>
                </c:pt>
                <c:pt idx="4">
                  <c:v>0</c:v>
                </c:pt>
                <c:pt idx="5">
                  <c:v>47082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558404.19999999995</c:v>
                </c:pt>
                <c:pt idx="10">
                  <c:v>2.0835200179097795</c:v>
                </c:pt>
              </c:numCache>
            </c:numRef>
          </c:val>
          <c:smooth val="0"/>
        </c:ser>
        <c:ser>
          <c:idx val="35"/>
          <c:order val="35"/>
          <c:marker>
            <c:symbol val="none"/>
          </c:marker>
          <c:val>
            <c:numRef>
              <c:f>'July-26'!$A$36:$O$36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6"/>
          <c:order val="36"/>
          <c:marker>
            <c:symbol val="none"/>
          </c:marker>
          <c:val>
            <c:numRef>
              <c:f>'July-26'!$A$37:$O$37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37"/>
          <c:order val="37"/>
          <c:marker>
            <c:symbol val="none"/>
          </c:marker>
          <c:val>
            <c:numRef>
              <c:f>'July-26'!$A$38:$O$38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38"/>
          <c:order val="38"/>
          <c:marker>
            <c:symbol val="none"/>
          </c:marker>
          <c:val>
            <c:numRef>
              <c:f>'July-26'!$A$39:$O$39</c:f>
              <c:numCache>
                <c:formatCode>General</c:formatCode>
                <c:ptCount val="15"/>
                <c:pt idx="1">
                  <c:v>0</c:v>
                </c:pt>
                <c:pt idx="3">
                  <c:v>9912</c:v>
                </c:pt>
                <c:pt idx="4">
                  <c:v>21.509040000000002</c:v>
                </c:pt>
                <c:pt idx="5">
                  <c:v>132.12696</c:v>
                </c:pt>
                <c:pt idx="6">
                  <c:v>57.786960000000001</c:v>
                </c:pt>
                <c:pt idx="7">
                  <c:v>211.42295999999999</c:v>
                </c:pt>
                <c:pt idx="8">
                  <c:v>158.59200000000001</c:v>
                </c:pt>
                <c:pt idx="9">
                  <c:v>296.875</c:v>
                </c:pt>
              </c:numCache>
            </c:numRef>
          </c:val>
          <c:smooth val="0"/>
        </c:ser>
        <c:ser>
          <c:idx val="39"/>
          <c:order val="39"/>
          <c:marker>
            <c:symbol val="none"/>
          </c:marker>
          <c:val>
            <c:numRef>
              <c:f>'July-26'!$A$40:$O$40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0"/>
          <c:order val="40"/>
          <c:marker>
            <c:symbol val="none"/>
          </c:marker>
          <c:val>
            <c:numRef>
              <c:f>'July-26'!$A$41:$O$41</c:f>
              <c:numCache>
                <c:formatCode>General</c:formatCode>
                <c:ptCount val="15"/>
                <c:pt idx="1">
                  <c:v>0</c:v>
                </c:pt>
                <c:pt idx="3">
                  <c:v>16786</c:v>
                </c:pt>
                <c:pt idx="4">
                  <c:v>19.807479999999998</c:v>
                </c:pt>
                <c:pt idx="5">
                  <c:v>122.03421999999999</c:v>
                </c:pt>
                <c:pt idx="6">
                  <c:v>53.379480000000001</c:v>
                </c:pt>
                <c:pt idx="7">
                  <c:v>195.22118</c:v>
                </c:pt>
                <c:pt idx="8">
                  <c:v>134.28800000000001</c:v>
                </c:pt>
                <c:pt idx="9">
                  <c:v>0</c:v>
                </c:pt>
              </c:numCache>
            </c:numRef>
          </c:val>
          <c:smooth val="0"/>
        </c:ser>
        <c:ser>
          <c:idx val="41"/>
          <c:order val="41"/>
          <c:marker>
            <c:symbol val="none"/>
          </c:marker>
          <c:val>
            <c:numRef>
              <c:f>'July-26'!$A$42:$O$42</c:f>
              <c:numCache>
                <c:formatCode>General</c:formatCode>
                <c:ptCount val="15"/>
                <c:pt idx="1">
                  <c:v>0</c:v>
                </c:pt>
                <c:pt idx="3">
                  <c:v>63904</c:v>
                </c:pt>
                <c:pt idx="4">
                  <c:v>104.16351999999999</c:v>
                </c:pt>
                <c:pt idx="5">
                  <c:v>639.04</c:v>
                </c:pt>
                <c:pt idx="6">
                  <c:v>281.17760000000004</c:v>
                </c:pt>
                <c:pt idx="7">
                  <c:v>1024.38112</c:v>
                </c:pt>
                <c:pt idx="8">
                  <c:v>766.87867514700588</c:v>
                </c:pt>
                <c:pt idx="9">
                  <c:v>0</c:v>
                </c:pt>
              </c:numCache>
            </c:numRef>
          </c:val>
          <c:smooth val="0"/>
        </c:ser>
        <c:ser>
          <c:idx val="42"/>
          <c:order val="42"/>
          <c:marker>
            <c:symbol val="none"/>
          </c:marker>
          <c:val>
            <c:numRef>
              <c:f>'July-26'!$A$43:$O$43</c:f>
              <c:numCache>
                <c:formatCode>General</c:formatCode>
                <c:ptCount val="15"/>
                <c:pt idx="1">
                  <c:v>0</c:v>
                </c:pt>
                <c:pt idx="3">
                  <c:v>177408</c:v>
                </c:pt>
                <c:pt idx="4">
                  <c:v>321.10847999999999</c:v>
                </c:pt>
                <c:pt idx="5">
                  <c:v>1971.0028799999998</c:v>
                </c:pt>
                <c:pt idx="6">
                  <c:v>862.20288000000005</c:v>
                </c:pt>
                <c:pt idx="7">
                  <c:v>3154.3142399999997</c:v>
                </c:pt>
                <c:pt idx="8">
                  <c:v>2838.5279999999998</c:v>
                </c:pt>
                <c:pt idx="9">
                  <c:v>4.6547703598484848E-2</c:v>
                </c:pt>
              </c:numCache>
            </c:numRef>
          </c:val>
          <c:smooth val="0"/>
        </c:ser>
        <c:ser>
          <c:idx val="43"/>
          <c:order val="43"/>
          <c:marker>
            <c:symbol val="none"/>
          </c:marker>
          <c:val>
            <c:numRef>
              <c:f>'July-26'!$A$44:$O$44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4"/>
          <c:order val="44"/>
          <c:marker>
            <c:symbol val="none"/>
          </c:marker>
          <c:val>
            <c:numRef>
              <c:f>'July-26'!$A$45:$O$45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5"/>
          <c:order val="45"/>
          <c:marker>
            <c:symbol val="none"/>
          </c:marker>
          <c:val>
            <c:numRef>
              <c:f>'July-26'!$A$46:$O$46</c:f>
              <c:numCache>
                <c:formatCode>General</c:formatCode>
                <c:ptCount val="15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</c:ser>
        <c:ser>
          <c:idx val="46"/>
          <c:order val="46"/>
          <c:marker>
            <c:symbol val="none"/>
          </c:marker>
          <c:val>
            <c:numRef>
              <c:f>'July-26'!$A$47:$O$47</c:f>
              <c:numCache>
                <c:formatCode>General</c:formatCode>
                <c:ptCount val="15"/>
                <c:pt idx="4">
                  <c:v>466.58851999999996</c:v>
                </c:pt>
                <c:pt idx="5">
                  <c:v>2864.20406</c:v>
                </c:pt>
                <c:pt idx="6">
                  <c:v>1254.5469200000002</c:v>
                </c:pt>
                <c:pt idx="8">
                  <c:v>3898.2866751470056</c:v>
                </c:pt>
              </c:numCache>
            </c:numRef>
          </c:val>
          <c:smooth val="0"/>
        </c:ser>
        <c:ser>
          <c:idx val="47"/>
          <c:order val="47"/>
          <c:marker>
            <c:symbol val="none"/>
          </c:marker>
          <c:val>
            <c:numRef>
              <c:f>'July-26'!$A$48:$O$48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8"/>
          <c:order val="48"/>
          <c:marker>
            <c:symbol val="none"/>
          </c:marker>
          <c:val>
            <c:numRef>
              <c:f>'July-26'!$A$49:$O$49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49"/>
          <c:order val="49"/>
          <c:marker>
            <c:symbol val="none"/>
          </c:marker>
          <c:val>
            <c:numRef>
              <c:f>'July-26'!$A$50:$O$50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0"/>
          <c:order val="50"/>
          <c:marker>
            <c:symbol val="none"/>
          </c:marker>
          <c:val>
            <c:numRef>
              <c:f>'July-26'!$A$51:$O$51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ser>
          <c:idx val="51"/>
          <c:order val="51"/>
          <c:marker>
            <c:symbol val="none"/>
          </c:marker>
          <c:val>
            <c:numRef>
              <c:f>'July-26'!$A$52:$O$52</c:f>
              <c:numCache>
                <c:formatCode>General</c:formatCode>
                <c:ptCount val="15"/>
                <c:pt idx="1">
                  <c:v>0</c:v>
                </c:pt>
                <c:pt idx="2">
                  <c:v>258098</c:v>
                </c:pt>
                <c:pt idx="3">
                  <c:v>445.07947999999999</c:v>
                </c:pt>
                <c:pt idx="4">
                  <c:v>106819.07519999999</c:v>
                </c:pt>
                <c:pt idx="5">
                  <c:v>2732.0770999999995</c:v>
                </c:pt>
                <c:pt idx="6">
                  <c:v>147532.16339999996</c:v>
                </c:pt>
                <c:pt idx="7">
                  <c:v>1196.7599600000001</c:v>
                </c:pt>
                <c:pt idx="8">
                  <c:v>3590.27988</c:v>
                </c:pt>
              </c:numCache>
            </c:numRef>
          </c:val>
          <c:smooth val="0"/>
        </c:ser>
        <c:ser>
          <c:idx val="52"/>
          <c:order val="52"/>
          <c:marker>
            <c:symbol val="none"/>
          </c:marker>
          <c:val>
            <c:numRef>
              <c:f>'July-26'!$A$53:$O$53</c:f>
              <c:numCache>
                <c:formatCode>General</c:formatCode>
                <c:ptCount val="15"/>
                <c:pt idx="1">
                  <c:v>0</c:v>
                </c:pt>
                <c:pt idx="2">
                  <c:v>9912</c:v>
                </c:pt>
                <c:pt idx="3">
                  <c:v>21.509040000000002</c:v>
                </c:pt>
                <c:pt idx="4">
                  <c:v>5162.1696000000002</c:v>
                </c:pt>
                <c:pt idx="5">
                  <c:v>132.12696</c:v>
                </c:pt>
                <c:pt idx="6">
                  <c:v>7134.8558400000002</c:v>
                </c:pt>
                <c:pt idx="7">
                  <c:v>57.786960000000001</c:v>
                </c:pt>
                <c:pt idx="8">
                  <c:v>173.36088000000001</c:v>
                </c:pt>
              </c:numCache>
            </c:numRef>
          </c:val>
          <c:smooth val="0"/>
        </c:ser>
        <c:ser>
          <c:idx val="53"/>
          <c:order val="53"/>
          <c:marker>
            <c:symbol val="none"/>
          </c:marker>
          <c:val>
            <c:numRef>
              <c:f>'July-26'!$A$54:$O$54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4"/>
          <c:order val="54"/>
          <c:marker>
            <c:symbol val="none"/>
          </c:marker>
          <c:val>
            <c:numRef>
              <c:f>'July-26'!$A$55:$O$55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5"/>
          <c:order val="55"/>
          <c:marker>
            <c:symbol val="none"/>
          </c:marker>
          <c:val>
            <c:numRef>
              <c:f>'July-26'!$A$56:$O$56</c:f>
              <c:numCache>
                <c:formatCode>General</c:formatCode>
                <c:ptCount val="15"/>
              </c:numCache>
            </c:numRef>
          </c:val>
          <c:smooth val="0"/>
        </c:ser>
        <c:ser>
          <c:idx val="56"/>
          <c:order val="56"/>
          <c:marker>
            <c:symbol val="none"/>
          </c:marker>
          <c:val>
            <c:numRef>
              <c:f>'July-26'!$A$57:$O$57</c:f>
              <c:numCache>
                <c:formatCode>General</c:formatCode>
                <c:ptCount val="1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63744"/>
        <c:axId val="85665280"/>
      </c:lineChart>
      <c:catAx>
        <c:axId val="8566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85665280"/>
        <c:crosses val="autoZero"/>
        <c:auto val="1"/>
        <c:lblAlgn val="ctr"/>
        <c:lblOffset val="100"/>
        <c:noMultiLvlLbl val="0"/>
      </c:catAx>
      <c:valAx>
        <c:axId val="8566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663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Total Production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'Year-2026'!$N$4</c:f>
              <c:strCache>
                <c:ptCount val="1"/>
                <c:pt idx="0">
                  <c:v>Total Production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'Year-2026'!$M$5:$M$12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'Year-2026'!$N$5:$N$12</c:f>
              <c:numCache>
                <c:formatCode>General</c:formatCode>
                <c:ptCount val="8"/>
                <c:pt idx="0">
                  <c:v>272618</c:v>
                </c:pt>
                <c:pt idx="1">
                  <c:v>266102</c:v>
                </c:pt>
                <c:pt idx="2">
                  <c:v>217024</c:v>
                </c:pt>
                <c:pt idx="3">
                  <c:v>259084</c:v>
                </c:pt>
                <c:pt idx="4">
                  <c:v>268222</c:v>
                </c:pt>
                <c:pt idx="5">
                  <c:v>316664</c:v>
                </c:pt>
                <c:pt idx="6">
                  <c:v>268010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823872"/>
        <c:axId val="85825408"/>
      </c:barChart>
      <c:catAx>
        <c:axId val="8582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85825408"/>
        <c:crosses val="autoZero"/>
        <c:auto val="1"/>
        <c:lblAlgn val="ctr"/>
        <c:lblOffset val="100"/>
        <c:noMultiLvlLbl val="0"/>
      </c:catAx>
      <c:valAx>
        <c:axId val="85825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100">
                    <a:solidFill>
                      <a:srgbClr val="0070C0"/>
                    </a:solidFill>
                  </a:rPr>
                  <a:t>Total Production (Units)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253393117526975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5823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70C0"/>
                </a:solidFill>
              </a:defRPr>
            </a:pPr>
            <a:r>
              <a:rPr lang="en-US" sz="1800" b="1" i="0" u="none" strike="noStrike" baseline="0">
                <a:solidFill>
                  <a:srgbClr val="0070C0"/>
                </a:solidFill>
              </a:rPr>
              <a:t>Production by Product Type – 2026</a:t>
            </a:r>
            <a:endParaRPr lang="en-US">
              <a:solidFill>
                <a:srgbClr val="0070C0"/>
              </a:solidFill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'Year-2026'!$X$3</c:f>
              <c:strCache>
                <c:ptCount val="1"/>
                <c:pt idx="0">
                  <c:v>Total Production</c:v>
                </c:pt>
              </c:strCache>
            </c:strRef>
          </c:tx>
          <c:invertIfNegative val="0"/>
          <c:cat>
            <c:strRef>
              <c:f>'Year-2026'!$W$4:$W$8</c:f>
              <c:strCache>
                <c:ptCount val="5"/>
                <c:pt idx="0">
                  <c:v>CHB 8''(20)</c:v>
                </c:pt>
                <c:pt idx="1">
                  <c:v>CHB 6''(15)</c:v>
                </c:pt>
                <c:pt idx="2">
                  <c:v>CHB 4''(10)</c:v>
                </c:pt>
                <c:pt idx="3">
                  <c:v>INS 8''(20)</c:v>
                </c:pt>
                <c:pt idx="4">
                  <c:v>Hordi 8"</c:v>
                </c:pt>
              </c:strCache>
            </c:strRef>
          </c:cat>
          <c:val>
            <c:numRef>
              <c:f>'Year-2026'!$X$4:$X$8</c:f>
              <c:numCache>
                <c:formatCode>General</c:formatCode>
                <c:ptCount val="5"/>
                <c:pt idx="0">
                  <c:v>1161480</c:v>
                </c:pt>
                <c:pt idx="1">
                  <c:v>465904</c:v>
                </c:pt>
                <c:pt idx="2">
                  <c:v>204952</c:v>
                </c:pt>
                <c:pt idx="3">
                  <c:v>25908</c:v>
                </c:pt>
                <c:pt idx="4">
                  <c:v>9480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845888"/>
        <c:axId val="85847424"/>
      </c:barChart>
      <c:catAx>
        <c:axId val="85845888"/>
        <c:scaling>
          <c:orientation val="minMax"/>
        </c:scaling>
        <c:delete val="0"/>
        <c:axPos val="l"/>
        <c:majorTickMark val="out"/>
        <c:minorTickMark val="none"/>
        <c:tickLblPos val="nextTo"/>
        <c:crossAx val="85847424"/>
        <c:crosses val="autoZero"/>
        <c:auto val="1"/>
        <c:lblAlgn val="ctr"/>
        <c:lblOffset val="100"/>
        <c:noMultiLvlLbl val="0"/>
      </c:catAx>
      <c:valAx>
        <c:axId val="858474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>
                    <a:solidFill>
                      <a:srgbClr val="0070C0"/>
                    </a:solidFill>
                  </a:rPr>
                  <a:t>Total Production (Units)</a:t>
                </a:r>
                <a:endParaRPr lang="en-US">
                  <a:solidFill>
                    <a:srgbClr val="0070C0"/>
                  </a:solidFill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5845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solidFill>
                  <a:srgbClr val="0070C0"/>
                </a:solidFill>
              </a:rPr>
              <a:t>Monthly Production Trend – 2026</a:t>
            </a:r>
            <a:endParaRPr lang="en-US">
              <a:solidFill>
                <a:srgbClr val="0070C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3285214348206"/>
          <c:y val="0.21795166229221347"/>
          <c:w val="0.8411227034120735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strRef>
              <c:f>'Year-2026'!$N$4</c:f>
              <c:strCache>
                <c:ptCount val="1"/>
                <c:pt idx="0">
                  <c:v>Total Production</c:v>
                </c:pt>
              </c:strCache>
            </c:strRef>
          </c:tx>
          <c:cat>
            <c:strRef>
              <c:f>'Year-2026'!$M$5:$M$12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'Year-2026'!$N$5:$N$12</c:f>
              <c:numCache>
                <c:formatCode>General</c:formatCode>
                <c:ptCount val="8"/>
                <c:pt idx="0">
                  <c:v>272618</c:v>
                </c:pt>
                <c:pt idx="1">
                  <c:v>266102</c:v>
                </c:pt>
                <c:pt idx="2">
                  <c:v>217024</c:v>
                </c:pt>
                <c:pt idx="3">
                  <c:v>259084</c:v>
                </c:pt>
                <c:pt idx="4">
                  <c:v>268222</c:v>
                </c:pt>
                <c:pt idx="5">
                  <c:v>316664</c:v>
                </c:pt>
                <c:pt idx="6">
                  <c:v>268010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99680"/>
        <c:axId val="86217856"/>
      </c:lineChart>
      <c:catAx>
        <c:axId val="8619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86217856"/>
        <c:crosses val="autoZero"/>
        <c:auto val="1"/>
        <c:lblAlgn val="ctr"/>
        <c:lblOffset val="100"/>
        <c:noMultiLvlLbl val="0"/>
      </c:catAx>
      <c:valAx>
        <c:axId val="86217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r>
                  <a:rPr lang="en-US" sz="1000" b="1" i="0" u="none" strike="noStrike" baseline="0">
                    <a:solidFill>
                      <a:srgbClr val="0070C0"/>
                    </a:solidFill>
                  </a:rPr>
                  <a:t>Total Production (Units)</a:t>
                </a:r>
                <a:endParaRPr lang="en-US">
                  <a:solidFill>
                    <a:srgbClr val="0070C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2222216290760266"/>
              <c:y val="0.413941052804528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199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'Year-2026'!$B$2:$F$2</c:f>
              <c:strCache>
                <c:ptCount val="5"/>
                <c:pt idx="0">
                  <c:v>CHB 4''(10)</c:v>
                </c:pt>
                <c:pt idx="1">
                  <c:v>CHB 6''(15)</c:v>
                </c:pt>
                <c:pt idx="2">
                  <c:v>CHB 8''(20)</c:v>
                </c:pt>
                <c:pt idx="3">
                  <c:v>Hordi 8''</c:v>
                </c:pt>
                <c:pt idx="4">
                  <c:v>INS 8''(20)</c:v>
                </c:pt>
              </c:strCache>
            </c:strRef>
          </c:cat>
          <c:val>
            <c:numRef>
              <c:f>'Year-2026'!$B$15:$F$15</c:f>
              <c:numCache>
                <c:formatCode>General</c:formatCode>
                <c:ptCount val="5"/>
                <c:pt idx="0">
                  <c:v>204952</c:v>
                </c:pt>
                <c:pt idx="1">
                  <c:v>465904</c:v>
                </c:pt>
                <c:pt idx="2">
                  <c:v>1161480</c:v>
                </c:pt>
                <c:pt idx="3">
                  <c:v>9480</c:v>
                </c:pt>
                <c:pt idx="4">
                  <c:v>25908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70C0"/>
                </a:solidFill>
              </a:defRPr>
            </a:pPr>
            <a:r>
              <a:rPr lang="en-US" sz="1800" b="1" i="0" u="none" strike="noStrike" baseline="0">
                <a:solidFill>
                  <a:srgbClr val="0070C0"/>
                </a:solidFill>
              </a:rPr>
              <a:t>Production by Product Type – 2026</a:t>
            </a:r>
            <a:endParaRPr lang="en-US">
              <a:solidFill>
                <a:srgbClr val="0070C0"/>
              </a:solidFill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'Year-2026'!$X$3</c:f>
              <c:strCache>
                <c:ptCount val="1"/>
                <c:pt idx="0">
                  <c:v>Total Production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'Year-2026'!$W$4:$W$8</c:f>
              <c:strCache>
                <c:ptCount val="5"/>
                <c:pt idx="0">
                  <c:v>CHB 8''(20)</c:v>
                </c:pt>
                <c:pt idx="1">
                  <c:v>CHB 6''(15)</c:v>
                </c:pt>
                <c:pt idx="2">
                  <c:v>CHB 4''(10)</c:v>
                </c:pt>
                <c:pt idx="3">
                  <c:v>INS 8''(20)</c:v>
                </c:pt>
                <c:pt idx="4">
                  <c:v>Hordi 8"</c:v>
                </c:pt>
              </c:strCache>
            </c:strRef>
          </c:cat>
          <c:val>
            <c:numRef>
              <c:f>'Year-2026'!$X$4:$X$8</c:f>
              <c:numCache>
                <c:formatCode>General</c:formatCode>
                <c:ptCount val="5"/>
                <c:pt idx="0">
                  <c:v>1161480</c:v>
                </c:pt>
                <c:pt idx="1">
                  <c:v>465904</c:v>
                </c:pt>
                <c:pt idx="2">
                  <c:v>204952</c:v>
                </c:pt>
                <c:pt idx="3">
                  <c:v>25908</c:v>
                </c:pt>
                <c:pt idx="4">
                  <c:v>9480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91040"/>
        <c:axId val="86396928"/>
      </c:barChart>
      <c:catAx>
        <c:axId val="86391040"/>
        <c:scaling>
          <c:orientation val="minMax"/>
        </c:scaling>
        <c:delete val="0"/>
        <c:axPos val="l"/>
        <c:majorTickMark val="out"/>
        <c:minorTickMark val="none"/>
        <c:tickLblPos val="nextTo"/>
        <c:crossAx val="86396928"/>
        <c:crosses val="autoZero"/>
        <c:auto val="1"/>
        <c:lblAlgn val="ctr"/>
        <c:lblOffset val="100"/>
        <c:noMultiLvlLbl val="0"/>
      </c:catAx>
      <c:valAx>
        <c:axId val="863969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>
                    <a:solidFill>
                      <a:srgbClr val="0070C0"/>
                    </a:solidFill>
                  </a:rPr>
                  <a:t>Total Production (Units)</a:t>
                </a:r>
                <a:endParaRPr lang="en-US">
                  <a:solidFill>
                    <a:srgbClr val="0070C0"/>
                  </a:solidFill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391040"/>
        <c:crosses val="autoZero"/>
        <c:crossBetween val="between"/>
      </c:valAx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solidFill>
                  <a:schemeClr val="tx2">
                    <a:lumMod val="60000"/>
                    <a:lumOff val="40000"/>
                  </a:schemeClr>
                </a:solidFill>
              </a:rPr>
              <a:t>Product</a:t>
            </a:r>
            <a:r>
              <a:rPr lang="en-US" baseline="0">
                <a:solidFill>
                  <a:schemeClr val="tx2">
                    <a:lumMod val="60000"/>
                    <a:lumOff val="40000"/>
                  </a:schemeClr>
                </a:solidFill>
              </a:rPr>
              <a:t> Contribution(%)</a:t>
            </a:r>
            <a:endParaRPr lang="en-US">
              <a:solidFill>
                <a:schemeClr val="tx2">
                  <a:lumMod val="60000"/>
                  <a:lumOff val="40000"/>
                </a:schemeClr>
              </a:solidFill>
            </a:endParaRPr>
          </a:p>
        </c:rich>
      </c:tx>
      <c:layout>
        <c:manualLayout>
          <c:xMode val="edge"/>
          <c:yMode val="edge"/>
          <c:x val="0.11278423084043906"/>
          <c:y val="1.374570446735395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6273662524922602"/>
          <c:y val="0.20453860793174053"/>
          <c:w val="0.6745267495015479"/>
          <c:h val="0.77419884370123837"/>
        </c:manualLayout>
      </c:layout>
      <c:pieChart>
        <c:varyColors val="1"/>
        <c:ser>
          <c:idx val="0"/>
          <c:order val="0"/>
          <c:dPt>
            <c:idx val="2"/>
            <c:bubble3D val="0"/>
            <c:explosion val="1"/>
          </c:dPt>
          <c:dLbls>
            <c:dLbl>
              <c:idx val="3"/>
              <c:layout>
                <c:manualLayout>
                  <c:x val="-0.11558492953775269"/>
                  <c:y val="4.6433422626295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0.18819107869020343"/>
                  <c:y val="4.7224973167013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'Year-2026'!$B$2:$F$2</c:f>
              <c:strCache>
                <c:ptCount val="5"/>
                <c:pt idx="0">
                  <c:v>CHB 4''(10)</c:v>
                </c:pt>
                <c:pt idx="1">
                  <c:v>CHB 6''(15)</c:v>
                </c:pt>
                <c:pt idx="2">
                  <c:v>CHB 8''(20)</c:v>
                </c:pt>
                <c:pt idx="3">
                  <c:v>Hordi 8''</c:v>
                </c:pt>
                <c:pt idx="4">
                  <c:v>INS 8''(20)</c:v>
                </c:pt>
              </c:strCache>
            </c:strRef>
          </c:cat>
          <c:val>
            <c:numRef>
              <c:f>'Year-2026'!$B$15:$F$15</c:f>
              <c:numCache>
                <c:formatCode>General</c:formatCode>
                <c:ptCount val="5"/>
                <c:pt idx="0">
                  <c:v>204952</c:v>
                </c:pt>
                <c:pt idx="1">
                  <c:v>465904</c:v>
                </c:pt>
                <c:pt idx="2">
                  <c:v>1161480</c:v>
                </c:pt>
                <c:pt idx="3">
                  <c:v>9480</c:v>
                </c:pt>
                <c:pt idx="4">
                  <c:v>25908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Total Production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'Year-2026'!$N$4</c:f>
              <c:strCache>
                <c:ptCount val="1"/>
                <c:pt idx="0">
                  <c:v>Total Production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'Year-2026'!$M$5:$M$12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'Year-2026'!$N$5:$N$12</c:f>
              <c:numCache>
                <c:formatCode>General</c:formatCode>
                <c:ptCount val="8"/>
                <c:pt idx="0">
                  <c:v>272618</c:v>
                </c:pt>
                <c:pt idx="1">
                  <c:v>266102</c:v>
                </c:pt>
                <c:pt idx="2">
                  <c:v>217024</c:v>
                </c:pt>
                <c:pt idx="3">
                  <c:v>259084</c:v>
                </c:pt>
                <c:pt idx="4">
                  <c:v>268222</c:v>
                </c:pt>
                <c:pt idx="5">
                  <c:v>316664</c:v>
                </c:pt>
                <c:pt idx="6">
                  <c:v>268010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48768"/>
        <c:axId val="86450560"/>
      </c:barChart>
      <c:catAx>
        <c:axId val="8644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86450560"/>
        <c:crosses val="autoZero"/>
        <c:auto val="1"/>
        <c:lblAlgn val="ctr"/>
        <c:lblOffset val="100"/>
        <c:noMultiLvlLbl val="0"/>
      </c:catAx>
      <c:valAx>
        <c:axId val="86450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100">
                    <a:solidFill>
                      <a:srgbClr val="0070C0"/>
                    </a:solidFill>
                  </a:rPr>
                  <a:t>Total Production (Units)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253393117526975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448768"/>
        <c:crosses val="autoZero"/>
        <c:crossBetween val="between"/>
      </c:valAx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solidFill>
                  <a:srgbClr val="0070C0"/>
                </a:solidFill>
              </a:rPr>
              <a:t>Monthly Production Trend – 2026</a:t>
            </a:r>
            <a:endParaRPr lang="en-US">
              <a:solidFill>
                <a:srgbClr val="0070C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3285214348206"/>
          <c:y val="0.21795166229221347"/>
          <c:w val="0.8411227034120735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strRef>
              <c:f>'Year-2026'!$N$4</c:f>
              <c:strCache>
                <c:ptCount val="1"/>
                <c:pt idx="0">
                  <c:v>Total Production</c:v>
                </c:pt>
              </c:strCache>
            </c:strRef>
          </c:tx>
          <c:cat>
            <c:strRef>
              <c:f>'Year-2026'!$M$5:$M$12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'Year-2026'!$N$5:$N$12</c:f>
              <c:numCache>
                <c:formatCode>General</c:formatCode>
                <c:ptCount val="8"/>
                <c:pt idx="0">
                  <c:v>272618</c:v>
                </c:pt>
                <c:pt idx="1">
                  <c:v>266102</c:v>
                </c:pt>
                <c:pt idx="2">
                  <c:v>217024</c:v>
                </c:pt>
                <c:pt idx="3">
                  <c:v>259084</c:v>
                </c:pt>
                <c:pt idx="4">
                  <c:v>268222</c:v>
                </c:pt>
                <c:pt idx="5">
                  <c:v>316664</c:v>
                </c:pt>
                <c:pt idx="6">
                  <c:v>268010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7424"/>
        <c:axId val="86488960"/>
      </c:lineChart>
      <c:catAx>
        <c:axId val="86487424"/>
        <c:scaling>
          <c:orientation val="minMax"/>
        </c:scaling>
        <c:delete val="0"/>
        <c:axPos val="b"/>
        <c:majorTickMark val="out"/>
        <c:minorTickMark val="none"/>
        <c:tickLblPos val="nextTo"/>
        <c:crossAx val="86488960"/>
        <c:crosses val="autoZero"/>
        <c:auto val="1"/>
        <c:lblAlgn val="ctr"/>
        <c:lblOffset val="100"/>
        <c:noMultiLvlLbl val="0"/>
      </c:catAx>
      <c:valAx>
        <c:axId val="86488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r>
                  <a:rPr lang="en-US" sz="1000" b="1" i="0" u="none" strike="noStrike" baseline="0">
                    <a:solidFill>
                      <a:srgbClr val="0070C0"/>
                    </a:solidFill>
                  </a:rPr>
                  <a:t>Total Production (Units)</a:t>
                </a:r>
                <a:endParaRPr lang="en-US">
                  <a:solidFill>
                    <a:srgbClr val="0070C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2222216290760266"/>
              <c:y val="0.413941052804528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487424"/>
        <c:crosses val="autoZero"/>
        <c:crossBetween val="between"/>
      </c:valAx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 Contribution (%) — Jan–Jul 2026</a:t>
            </a:r>
            <a:endParaRPr lang="en-US"/>
          </a:p>
        </c:rich>
      </c:tx>
      <c:layout>
        <c:manualLayout>
          <c:xMode val="edge"/>
          <c:yMode val="edge"/>
          <c:x val="0.15563888888888888"/>
          <c:y val="2.3148148148148147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'Master Data'!$T$34</c:f>
              <c:strCache>
                <c:ptCount val="1"/>
                <c:pt idx="0">
                  <c:v>Contribution %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'Master Data'!$S$35:$S$39</c:f>
              <c:strCache>
                <c:ptCount val="5"/>
                <c:pt idx="0">
                  <c:v>CHB 4"</c:v>
                </c:pt>
                <c:pt idx="1">
                  <c:v>CHB 6"</c:v>
                </c:pt>
                <c:pt idx="2">
                  <c:v>CHB 8"</c:v>
                </c:pt>
                <c:pt idx="3">
                  <c:v>HORDI 8"</c:v>
                </c:pt>
                <c:pt idx="4">
                  <c:v>INS 8"</c:v>
                </c:pt>
              </c:strCache>
            </c:strRef>
          </c:cat>
          <c:val>
            <c:numRef>
              <c:f>'Master Data'!$T$35:$T$39</c:f>
              <c:numCache>
                <c:formatCode>0.0%</c:formatCode>
                <c:ptCount val="5"/>
                <c:pt idx="0">
                  <c:v>0.10970000000000001</c:v>
                </c:pt>
                <c:pt idx="1">
                  <c:v>0.2495</c:v>
                </c:pt>
                <c:pt idx="2">
                  <c:v>0.62190000000000001</c:v>
                </c:pt>
                <c:pt idx="3">
                  <c:v>5.1000000000000004E-3</c:v>
                </c:pt>
                <c:pt idx="4">
                  <c:v>1.3899999999999999E-2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Production Trend — Jan–Jul 2026</a:t>
            </a:r>
            <a:endParaRPr lang="en-US"/>
          </a:p>
        </c:rich>
      </c:tx>
      <c:layout>
        <c:manualLayout>
          <c:xMode val="edge"/>
          <c:yMode val="edge"/>
          <c:x val="0.1185069991251093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498840769903762"/>
          <c:y val="0.29214129483814522"/>
          <c:w val="0.84112270341207351"/>
          <c:h val="0.587480679498396"/>
        </c:manualLayout>
      </c:layout>
      <c:lineChart>
        <c:grouping val="standard"/>
        <c:varyColors val="0"/>
        <c:ser>
          <c:idx val="0"/>
          <c:order val="0"/>
          <c:tx>
            <c:strRef>
              <c:f>'Master Data'!$T$2</c:f>
              <c:strCache>
                <c:ptCount val="1"/>
                <c:pt idx="0">
                  <c:v>Total Production</c:v>
                </c:pt>
              </c:strCache>
            </c:strRef>
          </c:tx>
          <c:marker>
            <c:symbol val="square"/>
            <c:size val="7"/>
          </c:marke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'Master Data'!$S$3:$S$9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'Master Data'!$T$3:$T$9</c:f>
              <c:numCache>
                <c:formatCode>General</c:formatCode>
                <c:ptCount val="7"/>
                <c:pt idx="0">
                  <c:v>272618</c:v>
                </c:pt>
                <c:pt idx="1">
                  <c:v>266102</c:v>
                </c:pt>
                <c:pt idx="2">
                  <c:v>217024</c:v>
                </c:pt>
                <c:pt idx="3">
                  <c:v>259084</c:v>
                </c:pt>
                <c:pt idx="4">
                  <c:v>268222</c:v>
                </c:pt>
                <c:pt idx="5">
                  <c:v>316664</c:v>
                </c:pt>
                <c:pt idx="6">
                  <c:v>268010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99776"/>
        <c:axId val="86301312"/>
      </c:lineChart>
      <c:catAx>
        <c:axId val="86299776"/>
        <c:scaling>
          <c:orientation val="minMax"/>
        </c:scaling>
        <c:delete val="0"/>
        <c:axPos val="b"/>
        <c:majorTickMark val="out"/>
        <c:minorTickMark val="none"/>
        <c:tickLblPos val="nextTo"/>
        <c:crossAx val="86301312"/>
        <c:crosses val="autoZero"/>
        <c:auto val="1"/>
        <c:lblAlgn val="ctr"/>
        <c:lblOffset val="100"/>
        <c:noMultiLvlLbl val="0"/>
      </c:catAx>
      <c:valAx>
        <c:axId val="86301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tx2">
                        <a:lumMod val="75000"/>
                      </a:schemeClr>
                    </a:solidFill>
                  </a:defRPr>
                </a:pPr>
                <a:r>
                  <a:rPr lang="en-US" sz="1000" b="1" i="0" u="none" strike="noStrike" baseline="0">
                    <a:solidFill>
                      <a:schemeClr val="tx2">
                        <a:lumMod val="75000"/>
                      </a:schemeClr>
                    </a:solidFill>
                  </a:rPr>
                  <a:t>Production Quantity (Units)</a:t>
                </a:r>
                <a:endParaRPr lang="en-US">
                  <a:solidFill>
                    <a:schemeClr val="tx2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11791383219954649"/>
              <c:y val="0.287283925875043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299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Production by Day of Week — Jan–Jul 2026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'Master Data'!$T$41</c:f>
              <c:strCache>
                <c:ptCount val="1"/>
                <c:pt idx="0">
                  <c:v>Total Production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'Master Data'!$S$42:$S$48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'Master Data'!$T$42:$T$48</c:f>
              <c:numCache>
                <c:formatCode>General</c:formatCode>
                <c:ptCount val="7"/>
                <c:pt idx="0">
                  <c:v>330192</c:v>
                </c:pt>
                <c:pt idx="1">
                  <c:v>291340</c:v>
                </c:pt>
                <c:pt idx="2">
                  <c:v>292088</c:v>
                </c:pt>
                <c:pt idx="3">
                  <c:v>326360</c:v>
                </c:pt>
                <c:pt idx="4">
                  <c:v>0</c:v>
                </c:pt>
                <c:pt idx="5">
                  <c:v>313080</c:v>
                </c:pt>
                <c:pt idx="6">
                  <c:v>314664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58048"/>
        <c:axId val="86684416"/>
      </c:barChart>
      <c:catAx>
        <c:axId val="86658048"/>
        <c:scaling>
          <c:orientation val="minMax"/>
        </c:scaling>
        <c:delete val="0"/>
        <c:axPos val="b"/>
        <c:majorTickMark val="out"/>
        <c:minorTickMark val="none"/>
        <c:tickLblPos val="nextTo"/>
        <c:crossAx val="86684416"/>
        <c:crosses val="autoZero"/>
        <c:auto val="1"/>
        <c:lblAlgn val="ctr"/>
        <c:lblOffset val="100"/>
        <c:noMultiLvlLbl val="0"/>
      </c:catAx>
      <c:valAx>
        <c:axId val="86684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>
                    <a:solidFill>
                      <a:schemeClr val="tx2">
                        <a:lumMod val="60000"/>
                        <a:lumOff val="40000"/>
                      </a:schemeClr>
                    </a:solidFill>
                  </a:rPr>
                  <a:t>Production</a:t>
                </a:r>
                <a:r>
                  <a:rPr lang="en-US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</a:rPr>
                  <a:t> Quantity (Units) </a:t>
                </a:r>
                <a:endParaRPr lang="en-US">
                  <a:solidFill>
                    <a:schemeClr val="tx2">
                      <a:lumMod val="60000"/>
                      <a:lumOff val="4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6.3643611810049374E-3"/>
              <c:y val="0.275011252390135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658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Production vs Zero-Production Days — Jan–Jul 2026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'Master Data'!$T$57</c:f>
              <c:strCache>
                <c:ptCount val="1"/>
                <c:pt idx="0">
                  <c:v>Days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'Master Data'!$S$58:$S$59</c:f>
              <c:strCache>
                <c:ptCount val="2"/>
                <c:pt idx="0">
                  <c:v>Production Days</c:v>
                </c:pt>
                <c:pt idx="1">
                  <c:v>Zero-Production Days</c:v>
                </c:pt>
              </c:strCache>
            </c:strRef>
          </c:cat>
          <c:val>
            <c:numRef>
              <c:f>'Master Data'!$T$58:$T$59</c:f>
              <c:numCache>
                <c:formatCode>General</c:formatCode>
                <c:ptCount val="2"/>
                <c:pt idx="0">
                  <c:v>171</c:v>
                </c:pt>
                <c:pt idx="1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Production per Production Day — Jan–Jul 2026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'Master Data'!$U$62</c:f>
              <c:strCache>
                <c:ptCount val="1"/>
                <c:pt idx="0">
                  <c:v>Production Days</c:v>
                </c:pt>
              </c:strCache>
            </c:strRef>
          </c:tx>
          <c:invertIfNegative val="0"/>
          <c:cat>
            <c:strRef>
              <c:f>'Master Data'!$S$63:$S$69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'Master Data'!$U$63:$U$69</c:f>
              <c:numCache>
                <c:formatCode>General</c:formatCode>
                <c:ptCount val="7"/>
                <c:pt idx="0">
                  <c:v>26</c:v>
                </c:pt>
                <c:pt idx="1">
                  <c:v>23</c:v>
                </c:pt>
                <c:pt idx="2">
                  <c:v>22</c:v>
                </c:pt>
                <c:pt idx="3">
                  <c:v>26</c:v>
                </c:pt>
                <c:pt idx="4">
                  <c:v>22</c:v>
                </c:pt>
                <c:pt idx="5">
                  <c:v>26</c:v>
                </c:pt>
                <c:pt idx="6">
                  <c:v>26</c:v>
                </c:pt>
              </c:numCache>
            </c:numRef>
          </c:val>
        </c:ser>
        <c:ser>
          <c:idx val="1"/>
          <c:order val="1"/>
          <c:tx>
            <c:strRef>
              <c:f>'Master Data'!$V$62</c:f>
              <c:strCache>
                <c:ptCount val="1"/>
                <c:pt idx="0">
                  <c:v>Avg. Production / Day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'Master Data'!$S$63:$S$69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'Master Data'!$V$63:$V$69</c:f>
              <c:numCache>
                <c:formatCode>0</c:formatCode>
                <c:ptCount val="7"/>
                <c:pt idx="0">
                  <c:v>10485.307692307691</c:v>
                </c:pt>
                <c:pt idx="1">
                  <c:v>11569.652173913044</c:v>
                </c:pt>
                <c:pt idx="2">
                  <c:v>9864.7272727272721</c:v>
                </c:pt>
                <c:pt idx="3">
                  <c:v>9964.7692307692305</c:v>
                </c:pt>
                <c:pt idx="4">
                  <c:v>12191.90909090909</c:v>
                </c:pt>
                <c:pt idx="5">
                  <c:v>12179.384615384615</c:v>
                </c:pt>
                <c:pt idx="6">
                  <c:v>10308.076923076924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64960"/>
        <c:axId val="87066496"/>
      </c:barChart>
      <c:catAx>
        <c:axId val="87064960"/>
        <c:scaling>
          <c:orientation val="minMax"/>
        </c:scaling>
        <c:delete val="0"/>
        <c:axPos val="b"/>
        <c:majorTickMark val="out"/>
        <c:minorTickMark val="none"/>
        <c:tickLblPos val="nextTo"/>
        <c:crossAx val="87066496"/>
        <c:crosses val="autoZero"/>
        <c:auto val="1"/>
        <c:lblAlgn val="ctr"/>
        <c:lblOffset val="100"/>
        <c:noMultiLvlLbl val="0"/>
      </c:catAx>
      <c:valAx>
        <c:axId val="870664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tx2">
                        <a:lumMod val="75000"/>
                      </a:schemeClr>
                    </a:solidFill>
                  </a:defRPr>
                </a:pPr>
                <a:r>
                  <a:rPr lang="en-US">
                    <a:solidFill>
                      <a:schemeClr val="tx2">
                        <a:lumMod val="75000"/>
                      </a:schemeClr>
                    </a:solidFill>
                  </a:rPr>
                  <a:t>Average Production (Units/Day)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154006129721430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7064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Production Trend — Jan–Jul 2026</a:t>
            </a:r>
            <a:endParaRPr lang="en-US"/>
          </a:p>
        </c:rich>
      </c:tx>
      <c:layout>
        <c:manualLayout>
          <c:xMode val="edge"/>
          <c:yMode val="edge"/>
          <c:x val="0.1185069991251093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498840769903762"/>
          <c:y val="0.29214129483814522"/>
          <c:w val="0.84112270341207351"/>
          <c:h val="0.587480679498396"/>
        </c:manualLayout>
      </c:layout>
      <c:lineChart>
        <c:grouping val="standard"/>
        <c:varyColors val="0"/>
        <c:ser>
          <c:idx val="0"/>
          <c:order val="0"/>
          <c:tx>
            <c:strRef>
              <c:f>'Master Data'!$T$2</c:f>
              <c:strCache>
                <c:ptCount val="1"/>
                <c:pt idx="0">
                  <c:v>Total Production</c:v>
                </c:pt>
              </c:strCache>
            </c:strRef>
          </c:tx>
          <c:marker>
            <c:symbol val="square"/>
            <c:size val="7"/>
          </c:marke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'Master Data'!$S$3:$S$9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'Master Data'!$T$3:$T$9</c:f>
              <c:numCache>
                <c:formatCode>General</c:formatCode>
                <c:ptCount val="7"/>
                <c:pt idx="0">
                  <c:v>272618</c:v>
                </c:pt>
                <c:pt idx="1">
                  <c:v>266102</c:v>
                </c:pt>
                <c:pt idx="2">
                  <c:v>217024</c:v>
                </c:pt>
                <c:pt idx="3">
                  <c:v>259084</c:v>
                </c:pt>
                <c:pt idx="4">
                  <c:v>268222</c:v>
                </c:pt>
                <c:pt idx="5">
                  <c:v>316664</c:v>
                </c:pt>
                <c:pt idx="6">
                  <c:v>268010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47936"/>
        <c:axId val="85049728"/>
      </c:lineChart>
      <c:catAx>
        <c:axId val="85047936"/>
        <c:scaling>
          <c:orientation val="minMax"/>
        </c:scaling>
        <c:delete val="0"/>
        <c:axPos val="b"/>
        <c:majorTickMark val="out"/>
        <c:minorTickMark val="none"/>
        <c:tickLblPos val="nextTo"/>
        <c:crossAx val="85049728"/>
        <c:crosses val="autoZero"/>
        <c:auto val="1"/>
        <c:lblAlgn val="ctr"/>
        <c:lblOffset val="100"/>
        <c:noMultiLvlLbl val="0"/>
      </c:catAx>
      <c:valAx>
        <c:axId val="85049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tx2">
                        <a:lumMod val="75000"/>
                      </a:schemeClr>
                    </a:solidFill>
                  </a:defRPr>
                </a:pPr>
                <a:r>
                  <a:rPr lang="en-US" sz="1000" b="1" i="0" u="none" strike="noStrike" baseline="0">
                    <a:solidFill>
                      <a:schemeClr val="tx2">
                        <a:lumMod val="75000"/>
                      </a:schemeClr>
                    </a:solidFill>
                  </a:rPr>
                  <a:t>Production (Units)</a:t>
                </a:r>
                <a:endParaRPr lang="en-US">
                  <a:solidFill>
                    <a:schemeClr val="tx2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11583056362049929"/>
              <c:y val="0.374463557439935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50479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 Contribution (%) — Jan–Jul 2026</a:t>
            </a:r>
            <a:endParaRPr lang="en-US"/>
          </a:p>
        </c:rich>
      </c:tx>
      <c:layout>
        <c:manualLayout>
          <c:xMode val="edge"/>
          <c:yMode val="edge"/>
          <c:x val="0.15563888888888888"/>
          <c:y val="2.3148148148148147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'Master Data'!$T$34</c:f>
              <c:strCache>
                <c:ptCount val="1"/>
                <c:pt idx="0">
                  <c:v>Contribution %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'Master Data'!$S$35:$S$39</c:f>
              <c:strCache>
                <c:ptCount val="5"/>
                <c:pt idx="0">
                  <c:v>CHB 4"</c:v>
                </c:pt>
                <c:pt idx="1">
                  <c:v>CHB 6"</c:v>
                </c:pt>
                <c:pt idx="2">
                  <c:v>CHB 8"</c:v>
                </c:pt>
                <c:pt idx="3">
                  <c:v>HORDI 8"</c:v>
                </c:pt>
                <c:pt idx="4">
                  <c:v>INS 8"</c:v>
                </c:pt>
              </c:strCache>
            </c:strRef>
          </c:cat>
          <c:val>
            <c:numRef>
              <c:f>'Master Data'!$T$35:$T$39</c:f>
              <c:numCache>
                <c:formatCode>0.0%</c:formatCode>
                <c:ptCount val="5"/>
                <c:pt idx="0">
                  <c:v>0.10970000000000001</c:v>
                </c:pt>
                <c:pt idx="1">
                  <c:v>0.2495</c:v>
                </c:pt>
                <c:pt idx="2">
                  <c:v>0.62190000000000001</c:v>
                </c:pt>
                <c:pt idx="3">
                  <c:v>5.1000000000000004E-3</c:v>
                </c:pt>
                <c:pt idx="4">
                  <c:v>1.3899999999999999E-2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Production by Day of Week — Jan–Jul 2026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'Master Data'!$T$41</c:f>
              <c:strCache>
                <c:ptCount val="1"/>
                <c:pt idx="0">
                  <c:v>Total Production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-9.478672985781991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3.1595576619273301E-3"/>
                  <c:y val="1.9723865877712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'Master Data'!$S$42:$S$48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'Master Data'!$T$42:$T$48</c:f>
              <c:numCache>
                <c:formatCode>General</c:formatCode>
                <c:ptCount val="7"/>
                <c:pt idx="0">
                  <c:v>330192</c:v>
                </c:pt>
                <c:pt idx="1">
                  <c:v>291340</c:v>
                </c:pt>
                <c:pt idx="2">
                  <c:v>292088</c:v>
                </c:pt>
                <c:pt idx="3">
                  <c:v>326360</c:v>
                </c:pt>
                <c:pt idx="4">
                  <c:v>0</c:v>
                </c:pt>
                <c:pt idx="5">
                  <c:v>313080</c:v>
                </c:pt>
                <c:pt idx="6">
                  <c:v>314664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23168"/>
        <c:axId val="86029056"/>
      </c:barChart>
      <c:catAx>
        <c:axId val="86023168"/>
        <c:scaling>
          <c:orientation val="minMax"/>
        </c:scaling>
        <c:delete val="0"/>
        <c:axPos val="b"/>
        <c:majorTickMark val="out"/>
        <c:minorTickMark val="none"/>
        <c:tickLblPos val="nextTo"/>
        <c:crossAx val="86029056"/>
        <c:crosses val="autoZero"/>
        <c:auto val="1"/>
        <c:lblAlgn val="ctr"/>
        <c:lblOffset val="100"/>
        <c:noMultiLvlLbl val="0"/>
      </c:catAx>
      <c:valAx>
        <c:axId val="86029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>
                    <a:solidFill>
                      <a:schemeClr val="tx2">
                        <a:lumMod val="60000"/>
                        <a:lumOff val="40000"/>
                      </a:schemeClr>
                    </a:solidFill>
                  </a:rPr>
                  <a:t>Production</a:t>
                </a:r>
                <a:r>
                  <a:rPr lang="en-US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</a:rPr>
                  <a:t> Quantity (Units) </a:t>
                </a:r>
                <a:endParaRPr lang="en-US">
                  <a:solidFill>
                    <a:schemeClr val="tx2">
                      <a:lumMod val="60000"/>
                      <a:lumOff val="4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6.3643611810049374E-3"/>
              <c:y val="0.275011252390135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023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Production vs Zero-Production Days — Jan–Jul 2026</a:t>
            </a:r>
            <a:endParaRPr lang="en-US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'Master Data'!$T$57</c:f>
              <c:strCache>
                <c:ptCount val="1"/>
                <c:pt idx="0">
                  <c:v>Days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'Master Data'!$S$58:$S$59</c:f>
              <c:strCache>
                <c:ptCount val="2"/>
                <c:pt idx="0">
                  <c:v>Production Days</c:v>
                </c:pt>
                <c:pt idx="1">
                  <c:v>Zero-Production Days</c:v>
                </c:pt>
              </c:strCache>
            </c:strRef>
          </c:cat>
          <c:val>
            <c:numRef>
              <c:f>'Master Data'!$T$58:$T$59</c:f>
              <c:numCache>
                <c:formatCode>General</c:formatCode>
                <c:ptCount val="2"/>
                <c:pt idx="0">
                  <c:v>171</c:v>
                </c:pt>
                <c:pt idx="1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Production per Production Day — Jan–Jul 2026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'Master Data'!$U$62</c:f>
              <c:strCache>
                <c:ptCount val="1"/>
                <c:pt idx="0">
                  <c:v>Production Days</c:v>
                </c:pt>
              </c:strCache>
            </c:strRef>
          </c:tx>
          <c:invertIfNegative val="0"/>
          <c:cat>
            <c:strRef>
              <c:f>'Master Data'!$S$63:$S$69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'Master Data'!$U$63:$U$69</c:f>
              <c:numCache>
                <c:formatCode>General</c:formatCode>
                <c:ptCount val="7"/>
                <c:pt idx="0">
                  <c:v>26</c:v>
                </c:pt>
                <c:pt idx="1">
                  <c:v>23</c:v>
                </c:pt>
                <c:pt idx="2">
                  <c:v>22</c:v>
                </c:pt>
                <c:pt idx="3">
                  <c:v>26</c:v>
                </c:pt>
                <c:pt idx="4">
                  <c:v>22</c:v>
                </c:pt>
                <c:pt idx="5">
                  <c:v>26</c:v>
                </c:pt>
                <c:pt idx="6">
                  <c:v>26</c:v>
                </c:pt>
              </c:numCache>
            </c:numRef>
          </c:val>
        </c:ser>
        <c:ser>
          <c:idx val="1"/>
          <c:order val="1"/>
          <c:tx>
            <c:strRef>
              <c:f>'Master Data'!$V$62</c:f>
              <c:strCache>
                <c:ptCount val="1"/>
                <c:pt idx="0">
                  <c:v>Avg. Production / Day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'Master Data'!$S$63:$S$69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'Master Data'!$V$63:$V$69</c:f>
              <c:numCache>
                <c:formatCode>0</c:formatCode>
                <c:ptCount val="7"/>
                <c:pt idx="0">
                  <c:v>10485.307692307691</c:v>
                </c:pt>
                <c:pt idx="1">
                  <c:v>11569.652173913044</c:v>
                </c:pt>
                <c:pt idx="2">
                  <c:v>9864.7272727272721</c:v>
                </c:pt>
                <c:pt idx="3">
                  <c:v>9964.7692307692305</c:v>
                </c:pt>
                <c:pt idx="4">
                  <c:v>12191.90909090909</c:v>
                </c:pt>
                <c:pt idx="5">
                  <c:v>12179.384615384615</c:v>
                </c:pt>
                <c:pt idx="6">
                  <c:v>10308.076923076924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159744"/>
        <c:axId val="86161280"/>
      </c:barChart>
      <c:catAx>
        <c:axId val="8615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86161280"/>
        <c:crosses val="autoZero"/>
        <c:auto val="1"/>
        <c:lblAlgn val="ctr"/>
        <c:lblOffset val="100"/>
        <c:noMultiLvlLbl val="0"/>
      </c:catAx>
      <c:valAx>
        <c:axId val="861612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tx2">
                        <a:lumMod val="75000"/>
                      </a:schemeClr>
                    </a:solidFill>
                  </a:defRPr>
                </a:pPr>
                <a:r>
                  <a:rPr lang="en-US">
                    <a:solidFill>
                      <a:schemeClr val="tx2">
                        <a:lumMod val="75000"/>
                      </a:schemeClr>
                    </a:solidFill>
                  </a:rPr>
                  <a:t>Average Production (Units/Day)</a:t>
                </a:r>
              </a:p>
            </c:rich>
          </c:tx>
          <c:layout>
            <c:manualLayout>
              <c:xMode val="edge"/>
              <c:yMode val="edge"/>
              <c:x val="4.1666666666666664E-2"/>
              <c:y val="0.154006129721430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6159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53</xdr:row>
      <xdr:rowOff>114307</xdr:rowOff>
    </xdr:from>
    <xdr:to>
      <xdr:col>9</xdr:col>
      <xdr:colOff>28575</xdr:colOff>
      <xdr:row>70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53</xdr:row>
      <xdr:rowOff>114307</xdr:rowOff>
    </xdr:from>
    <xdr:to>
      <xdr:col>9</xdr:col>
      <xdr:colOff>28575</xdr:colOff>
      <xdr:row>70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53</xdr:row>
      <xdr:rowOff>114307</xdr:rowOff>
    </xdr:from>
    <xdr:to>
      <xdr:col>9</xdr:col>
      <xdr:colOff>28575</xdr:colOff>
      <xdr:row>70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53</xdr:row>
      <xdr:rowOff>114307</xdr:rowOff>
    </xdr:from>
    <xdr:to>
      <xdr:col>9</xdr:col>
      <xdr:colOff>28575</xdr:colOff>
      <xdr:row>70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390524</xdr:colOff>
      <xdr:row>1</xdr:row>
      <xdr:rowOff>276225</xdr:rowOff>
    </xdr:from>
    <xdr:to>
      <xdr:col>21</xdr:col>
      <xdr:colOff>476249</xdr:colOff>
      <xdr:row>11</xdr:row>
      <xdr:rowOff>300037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733425</xdr:colOff>
      <xdr:row>9</xdr:row>
      <xdr:rowOff>23812</xdr:rowOff>
    </xdr:from>
    <xdr:to>
      <xdr:col>26</xdr:col>
      <xdr:colOff>828675</xdr:colOff>
      <xdr:row>17</xdr:row>
      <xdr:rowOff>42862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742950</xdr:colOff>
      <xdr:row>16</xdr:row>
      <xdr:rowOff>142875</xdr:rowOff>
    </xdr:from>
    <xdr:to>
      <xdr:col>17</xdr:col>
      <xdr:colOff>790575</xdr:colOff>
      <xdr:row>26</xdr:row>
      <xdr:rowOff>233362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9</xdr:row>
      <xdr:rowOff>57156</xdr:rowOff>
    </xdr:from>
    <xdr:to>
      <xdr:col>32</xdr:col>
      <xdr:colOff>95250</xdr:colOff>
      <xdr:row>17</xdr:row>
      <xdr:rowOff>76206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19050</xdr:rowOff>
    </xdr:from>
    <xdr:to>
      <xdr:col>6</xdr:col>
      <xdr:colOff>0</xdr:colOff>
      <xdr:row>26</xdr:row>
      <xdr:rowOff>114299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12</xdr:row>
      <xdr:rowOff>19050</xdr:rowOff>
    </xdr:from>
    <xdr:to>
      <xdr:col>11</xdr:col>
      <xdr:colOff>1038224</xdr:colOff>
      <xdr:row>26</xdr:row>
      <xdr:rowOff>104775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12</xdr:row>
      <xdr:rowOff>38101</xdr:rowOff>
    </xdr:from>
    <xdr:to>
      <xdr:col>2</xdr:col>
      <xdr:colOff>1028699</xdr:colOff>
      <xdr:row>26</xdr:row>
      <xdr:rowOff>123825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9526</xdr:colOff>
      <xdr:row>12</xdr:row>
      <xdr:rowOff>28575</xdr:rowOff>
    </xdr:from>
    <xdr:to>
      <xdr:col>9</xdr:col>
      <xdr:colOff>28575</xdr:colOff>
      <xdr:row>26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31</xdr:row>
      <xdr:rowOff>161925</xdr:rowOff>
    </xdr:from>
    <xdr:to>
      <xdr:col>17</xdr:col>
      <xdr:colOff>428625</xdr:colOff>
      <xdr:row>42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66674</xdr:colOff>
      <xdr:row>18</xdr:row>
      <xdr:rowOff>171450</xdr:rowOff>
    </xdr:from>
    <xdr:to>
      <xdr:col>17</xdr:col>
      <xdr:colOff>514349</xdr:colOff>
      <xdr:row>29</xdr:row>
      <xdr:rowOff>100012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200026</xdr:colOff>
      <xdr:row>43</xdr:row>
      <xdr:rowOff>28574</xdr:rowOff>
    </xdr:from>
    <xdr:to>
      <xdr:col>17</xdr:col>
      <xdr:colOff>438150</xdr:colOff>
      <xdr:row>54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247650</xdr:colOff>
      <xdr:row>55</xdr:row>
      <xdr:rowOff>57149</xdr:rowOff>
    </xdr:from>
    <xdr:to>
      <xdr:col>17</xdr:col>
      <xdr:colOff>285750</xdr:colOff>
      <xdr:row>64</xdr:row>
      <xdr:rowOff>33336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114300</xdr:colOff>
      <xdr:row>66</xdr:row>
      <xdr:rowOff>47624</xdr:rowOff>
    </xdr:from>
    <xdr:to>
      <xdr:col>17</xdr:col>
      <xdr:colOff>323850</xdr:colOff>
      <xdr:row>76</xdr:row>
      <xdr:rowOff>223836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0</xdr:rowOff>
    </xdr:from>
    <xdr:to>
      <xdr:col>6</xdr:col>
      <xdr:colOff>28574</xdr:colOff>
      <xdr:row>21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7</xdr:row>
      <xdr:rowOff>190499</xdr:rowOff>
    </xdr:from>
    <xdr:to>
      <xdr:col>12</xdr:col>
      <xdr:colOff>9525</xdr:colOff>
      <xdr:row>21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21</xdr:row>
      <xdr:rowOff>19050</xdr:rowOff>
    </xdr:from>
    <xdr:to>
      <xdr:col>3</xdr:col>
      <xdr:colOff>971551</xdr:colOff>
      <xdr:row>38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1009649</xdr:colOff>
      <xdr:row>21</xdr:row>
      <xdr:rowOff>19050</xdr:rowOff>
    </xdr:from>
    <xdr:to>
      <xdr:col>7</xdr:col>
      <xdr:colOff>1000125</xdr:colOff>
      <xdr:row>37</xdr:row>
      <xdr:rowOff>180975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1009648</xdr:colOff>
      <xdr:row>21</xdr:row>
      <xdr:rowOff>19050</xdr:rowOff>
    </xdr:from>
    <xdr:to>
      <xdr:col>12</xdr:col>
      <xdr:colOff>28575</xdr:colOff>
      <xdr:row>38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5.364334143516" createdVersion="4" refreshedVersion="4" minRefreshableVersion="3" recordCount="13">
  <cacheSource type="worksheet">
    <worksheetSource ref="B2:F15" sheet="Year-2026"/>
  </cacheSource>
  <cacheFields count="5">
    <cacheField name="CHB 4''(10)" numFmtId="0">
      <sharedItems containsString="0" containsBlank="1" containsNumber="1" containsInteger="1" minValue="15026" maxValue="203192"/>
    </cacheField>
    <cacheField name="CHB6''(15)" numFmtId="0">
      <sharedItems containsString="0" containsBlank="1" containsNumber="1" containsInteger="1" minValue="36896" maxValue="438896"/>
    </cacheField>
    <cacheField name="CHB8''(20)" numFmtId="0">
      <sharedItems containsString="0" containsBlank="1" containsNumber="1" containsInteger="1" minValue="116520" maxValue="1100592"/>
    </cacheField>
    <cacheField name="Hordi 8''" numFmtId="0">
      <sharedItems containsString="0" containsBlank="1" containsNumber="1" containsInteger="1" minValue="0" maxValue="9480"/>
    </cacheField>
    <cacheField name="INS 8''(20)" numFmtId="0">
      <sharedItems containsString="0" containsBlank="1" containsNumber="1" containsInteger="1" minValue="0" maxValue="259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n v="46002"/>
    <n v="79040"/>
    <n v="147576"/>
    <n v="0"/>
    <n v="0"/>
  </r>
  <r>
    <n v="34254"/>
    <n v="80336"/>
    <n v="151512"/>
    <n v="0"/>
    <n v="0"/>
  </r>
  <r>
    <n v="16280"/>
    <n v="57392"/>
    <n v="133872"/>
    <n v="9480"/>
    <n v="0"/>
  </r>
  <r>
    <n v="27500"/>
    <n v="51536"/>
    <n v="171384"/>
    <n v="0"/>
    <n v="8664"/>
  </r>
  <r>
    <n v="31614"/>
    <n v="59632"/>
    <n v="169644"/>
    <n v="0"/>
    <n v="7332"/>
  </r>
  <r>
    <n v="32516"/>
    <n v="74064"/>
    <n v="210084"/>
    <n v="0"/>
    <n v="0"/>
  </r>
  <r>
    <n v="15026"/>
    <n v="36896"/>
    <n v="116520"/>
    <n v="0"/>
    <n v="9912"/>
  </r>
  <r>
    <m/>
    <m/>
    <m/>
    <m/>
    <m/>
  </r>
  <r>
    <m/>
    <m/>
    <m/>
    <m/>
    <m/>
  </r>
  <r>
    <m/>
    <m/>
    <m/>
    <m/>
    <m/>
  </r>
  <r>
    <m/>
    <m/>
    <m/>
    <m/>
    <m/>
  </r>
  <r>
    <m/>
    <m/>
    <m/>
    <m/>
    <m/>
  </r>
  <r>
    <n v="203192"/>
    <n v="438896"/>
    <n v="1100592"/>
    <n v="9480"/>
    <n v="259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U27:W44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zoomScaleNormal="100" workbookViewId="0">
      <pane ySplit="2" topLeftCell="A30" activePane="bottomLeft" state="frozen"/>
      <selection pane="bottomLeft" activeCell="F41" sqref="F41"/>
    </sheetView>
  </sheetViews>
  <sheetFormatPr defaultRowHeight="15" x14ac:dyDescent="0.25"/>
  <cols>
    <col min="1" max="1" width="6.42578125" customWidth="1"/>
    <col min="2" max="3" width="8.85546875" customWidth="1"/>
    <col min="4" max="4" width="9.42578125" bestFit="1" customWidth="1"/>
    <col min="5" max="5" width="9.7109375" customWidth="1"/>
    <col min="6" max="6" width="9.42578125" bestFit="1" customWidth="1"/>
    <col min="7" max="8" width="8.85546875" customWidth="1"/>
    <col min="9" max="9" width="9.28515625" customWidth="1"/>
    <col min="10" max="10" width="10.140625" bestFit="1" customWidth="1"/>
    <col min="11" max="11" width="10" customWidth="1"/>
  </cols>
  <sheetData>
    <row r="1" spans="1:15" ht="24" thickBot="1" x14ac:dyDescent="0.4">
      <c r="A1" s="98" t="s">
        <v>30</v>
      </c>
      <c r="B1" s="98"/>
      <c r="C1" s="98"/>
      <c r="D1" s="98"/>
      <c r="E1" s="98"/>
      <c r="F1" s="98"/>
      <c r="H1" s="99" t="s">
        <v>31</v>
      </c>
      <c r="I1" s="99"/>
      <c r="J1" s="99"/>
      <c r="K1" s="99"/>
    </row>
    <row r="2" spans="1:15" ht="18.75" customHeight="1" thickTop="1" thickBot="1" x14ac:dyDescent="0.3">
      <c r="A2" s="3" t="s">
        <v>79</v>
      </c>
      <c r="B2" s="6" t="s">
        <v>33</v>
      </c>
      <c r="C2" s="6" t="s">
        <v>93</v>
      </c>
      <c r="D2" s="6" t="s">
        <v>91</v>
      </c>
      <c r="E2" s="6" t="s">
        <v>1</v>
      </c>
      <c r="F2" s="7" t="s">
        <v>0</v>
      </c>
      <c r="G2" s="6" t="s">
        <v>2</v>
      </c>
      <c r="H2" s="7" t="s">
        <v>7</v>
      </c>
      <c r="I2" s="5" t="s">
        <v>3</v>
      </c>
      <c r="J2" s="4" t="s">
        <v>4</v>
      </c>
      <c r="K2" s="6" t="s">
        <v>5</v>
      </c>
    </row>
    <row r="3" spans="1:15" ht="24" customHeight="1" thickTop="1" x14ac:dyDescent="0.35">
      <c r="A3" s="10">
        <v>1</v>
      </c>
      <c r="B3" s="12">
        <v>16060</v>
      </c>
      <c r="C3" s="2"/>
      <c r="D3" s="13"/>
      <c r="E3" s="12"/>
      <c r="F3" s="2"/>
      <c r="G3" s="13"/>
      <c r="H3" s="12"/>
      <c r="I3" s="2"/>
      <c r="J3" s="29">
        <f>SUM(B3:I3)</f>
        <v>16060</v>
      </c>
      <c r="K3" s="23"/>
    </row>
    <row r="4" spans="1:15" ht="24" customHeight="1" x14ac:dyDescent="0.35">
      <c r="A4" s="15">
        <v>2</v>
      </c>
      <c r="B4" s="14"/>
      <c r="C4" s="14"/>
      <c r="D4" s="14"/>
      <c r="E4" s="14"/>
      <c r="F4" s="14"/>
      <c r="G4" s="14"/>
      <c r="H4" s="14"/>
      <c r="I4" s="14"/>
      <c r="J4" s="29">
        <f t="shared" ref="J4:J35" si="0">SUM(B4:I4)</f>
        <v>0</v>
      </c>
      <c r="K4" s="24" t="s">
        <v>6</v>
      </c>
    </row>
    <row r="5" spans="1:15" ht="24" customHeight="1" x14ac:dyDescent="0.35">
      <c r="A5" s="15">
        <v>3</v>
      </c>
      <c r="B5" s="14"/>
      <c r="C5" s="14">
        <v>4240</v>
      </c>
      <c r="D5" s="14">
        <v>8160</v>
      </c>
      <c r="E5" s="14"/>
      <c r="F5" s="14"/>
      <c r="G5" s="14"/>
      <c r="H5" s="14"/>
      <c r="I5" s="14"/>
      <c r="J5" s="29">
        <f t="shared" si="0"/>
        <v>12400</v>
      </c>
      <c r="K5" s="25"/>
    </row>
    <row r="6" spans="1:15" ht="24" customHeight="1" x14ac:dyDescent="0.35">
      <c r="A6" s="15">
        <v>4</v>
      </c>
      <c r="B6" s="14"/>
      <c r="C6" s="14">
        <v>8800</v>
      </c>
      <c r="D6" s="14">
        <v>3852</v>
      </c>
      <c r="E6" s="14"/>
      <c r="F6" s="14"/>
      <c r="G6" s="14"/>
      <c r="H6" s="14"/>
      <c r="I6" s="14"/>
      <c r="J6" s="29">
        <f t="shared" si="0"/>
        <v>12652</v>
      </c>
      <c r="K6" s="22"/>
    </row>
    <row r="7" spans="1:15" ht="24" customHeight="1" x14ac:dyDescent="0.35">
      <c r="A7" s="15">
        <v>5</v>
      </c>
      <c r="B7" s="44"/>
      <c r="C7" s="14">
        <v>5120</v>
      </c>
      <c r="D7" s="14">
        <v>8160</v>
      </c>
      <c r="E7" s="14"/>
      <c r="F7" s="14"/>
      <c r="G7" s="14"/>
      <c r="H7" s="14"/>
      <c r="I7" s="14"/>
      <c r="J7" s="29">
        <f t="shared" si="0"/>
        <v>13280</v>
      </c>
      <c r="K7" s="22"/>
      <c r="N7" s="20"/>
    </row>
    <row r="8" spans="1:15" ht="24" customHeight="1" x14ac:dyDescent="0.35">
      <c r="A8" s="15">
        <v>6</v>
      </c>
      <c r="B8" s="46"/>
      <c r="C8" s="14"/>
      <c r="D8" s="45">
        <v>8340</v>
      </c>
      <c r="E8" s="14"/>
      <c r="F8" s="14"/>
      <c r="G8" s="14"/>
      <c r="H8" s="14"/>
      <c r="I8" s="14"/>
      <c r="J8" s="29">
        <f t="shared" si="0"/>
        <v>8340</v>
      </c>
      <c r="K8" s="22"/>
    </row>
    <row r="9" spans="1:15" ht="24" customHeight="1" x14ac:dyDescent="0.35">
      <c r="A9" s="15">
        <v>7</v>
      </c>
      <c r="B9" s="14"/>
      <c r="C9" s="45"/>
      <c r="D9" s="14">
        <v>8280</v>
      </c>
      <c r="E9" s="14"/>
      <c r="F9" s="14"/>
      <c r="G9" s="14"/>
      <c r="H9" s="14"/>
      <c r="I9" s="14"/>
      <c r="J9" s="29">
        <f t="shared" si="0"/>
        <v>8280</v>
      </c>
      <c r="K9" s="22"/>
    </row>
    <row r="10" spans="1:15" ht="24" customHeight="1" x14ac:dyDescent="0.35">
      <c r="A10" s="15">
        <v>8</v>
      </c>
      <c r="B10" s="44"/>
      <c r="C10" s="46"/>
      <c r="D10" s="14">
        <v>7740</v>
      </c>
      <c r="E10" s="14"/>
      <c r="F10" s="14"/>
      <c r="G10" s="14"/>
      <c r="H10" s="14"/>
      <c r="I10" s="14"/>
      <c r="J10" s="29">
        <f t="shared" si="0"/>
        <v>7740</v>
      </c>
      <c r="K10" s="22"/>
    </row>
    <row r="11" spans="1:15" ht="24" customHeight="1" x14ac:dyDescent="0.35">
      <c r="A11" s="16">
        <v>9</v>
      </c>
      <c r="B11" s="44"/>
      <c r="C11" s="46"/>
      <c r="D11" s="14"/>
      <c r="E11" s="14"/>
      <c r="F11" s="14"/>
      <c r="G11" s="14"/>
      <c r="H11" s="14"/>
      <c r="I11" s="14"/>
      <c r="J11" s="29">
        <f t="shared" si="0"/>
        <v>0</v>
      </c>
      <c r="K11" s="24" t="s">
        <v>6</v>
      </c>
      <c r="O11" s="21"/>
    </row>
    <row r="12" spans="1:15" ht="24" customHeight="1" x14ac:dyDescent="0.35">
      <c r="A12" s="11">
        <v>10</v>
      </c>
      <c r="B12" s="14"/>
      <c r="C12" s="14">
        <v>11776</v>
      </c>
      <c r="D12" s="14"/>
      <c r="E12" s="14"/>
      <c r="F12" s="14"/>
      <c r="G12" s="14"/>
      <c r="H12" s="14"/>
      <c r="I12" s="14"/>
      <c r="J12" s="29">
        <f t="shared" si="0"/>
        <v>11776</v>
      </c>
      <c r="K12" s="24"/>
    </row>
    <row r="13" spans="1:15" ht="24" customHeight="1" x14ac:dyDescent="0.35">
      <c r="A13" s="15">
        <v>11</v>
      </c>
      <c r="B13" s="14"/>
      <c r="C13" s="14"/>
      <c r="D13" s="14">
        <v>8172</v>
      </c>
      <c r="E13" s="14"/>
      <c r="F13" s="14"/>
      <c r="G13" s="14"/>
      <c r="H13" s="14"/>
      <c r="I13" s="14"/>
      <c r="J13" s="29">
        <f t="shared" si="0"/>
        <v>8172</v>
      </c>
      <c r="K13" s="25"/>
    </row>
    <row r="14" spans="1:15" ht="24" customHeight="1" x14ac:dyDescent="0.35">
      <c r="A14" s="16">
        <v>12</v>
      </c>
      <c r="B14" s="14"/>
      <c r="C14" s="14">
        <v>5040</v>
      </c>
      <c r="D14" s="14">
        <v>8520</v>
      </c>
      <c r="E14" s="14"/>
      <c r="F14" s="14"/>
      <c r="G14" s="14"/>
      <c r="H14" s="14"/>
      <c r="I14" s="14"/>
      <c r="J14" s="29">
        <f t="shared" si="0"/>
        <v>13560</v>
      </c>
      <c r="K14" s="24"/>
    </row>
    <row r="15" spans="1:15" ht="24" customHeight="1" x14ac:dyDescent="0.35">
      <c r="A15" s="11">
        <v>13</v>
      </c>
      <c r="B15" s="14"/>
      <c r="C15" s="14">
        <v>5424</v>
      </c>
      <c r="D15" s="14">
        <v>8220</v>
      </c>
      <c r="E15" s="14"/>
      <c r="F15" s="14"/>
      <c r="G15" s="14"/>
      <c r="H15" s="14"/>
      <c r="I15" s="14"/>
      <c r="J15" s="29">
        <f t="shared" si="0"/>
        <v>13644</v>
      </c>
      <c r="K15" s="24"/>
    </row>
    <row r="16" spans="1:15" ht="24.75" customHeight="1" x14ac:dyDescent="0.35">
      <c r="A16" s="15">
        <v>14</v>
      </c>
      <c r="B16" s="14"/>
      <c r="C16" s="14"/>
      <c r="D16" s="14">
        <v>8244</v>
      </c>
      <c r="E16" s="14"/>
      <c r="F16" s="14"/>
      <c r="G16" s="14"/>
      <c r="H16" s="14"/>
      <c r="I16" s="14"/>
      <c r="J16" s="29">
        <f t="shared" si="0"/>
        <v>8244</v>
      </c>
      <c r="K16" s="40"/>
    </row>
    <row r="17" spans="1:14" ht="24" customHeight="1" x14ac:dyDescent="0.35">
      <c r="A17" s="15">
        <v>15</v>
      </c>
      <c r="B17" s="14">
        <v>16192</v>
      </c>
      <c r="C17" s="14"/>
      <c r="D17" s="14"/>
      <c r="E17" s="14"/>
      <c r="F17" s="14"/>
      <c r="G17" s="14"/>
      <c r="H17" s="14"/>
      <c r="I17" s="14"/>
      <c r="J17" s="29">
        <f t="shared" si="0"/>
        <v>16192</v>
      </c>
      <c r="K17" s="24"/>
    </row>
    <row r="18" spans="1:14" ht="24" customHeight="1" x14ac:dyDescent="0.3">
      <c r="A18" s="15">
        <v>16</v>
      </c>
      <c r="B18" s="14"/>
      <c r="C18" s="14"/>
      <c r="D18" s="14"/>
      <c r="E18" s="14"/>
      <c r="F18" s="14"/>
      <c r="G18" s="14"/>
      <c r="H18" s="14"/>
      <c r="I18" s="14"/>
      <c r="J18" s="29">
        <f t="shared" si="0"/>
        <v>0</v>
      </c>
      <c r="K18" s="39" t="s">
        <v>6</v>
      </c>
    </row>
    <row r="19" spans="1:14" ht="24" customHeight="1" x14ac:dyDescent="0.35">
      <c r="A19" s="15">
        <v>17</v>
      </c>
      <c r="B19" s="14"/>
      <c r="C19" s="14"/>
      <c r="D19" s="14">
        <v>7872</v>
      </c>
      <c r="E19" s="14"/>
      <c r="F19" s="14"/>
      <c r="G19" s="14"/>
      <c r="H19" s="14"/>
      <c r="I19" s="14"/>
      <c r="J19" s="29">
        <f t="shared" si="0"/>
        <v>7872</v>
      </c>
      <c r="K19" s="24"/>
    </row>
    <row r="20" spans="1:14" ht="24" customHeight="1" x14ac:dyDescent="0.35">
      <c r="A20" s="16">
        <v>18</v>
      </c>
      <c r="B20" s="14"/>
      <c r="C20" s="14">
        <v>10640</v>
      </c>
      <c r="D20" s="14"/>
      <c r="E20" s="14"/>
      <c r="F20" s="14"/>
      <c r="G20" s="14"/>
      <c r="H20" s="14"/>
      <c r="I20" s="14"/>
      <c r="J20" s="29">
        <f t="shared" si="0"/>
        <v>10640</v>
      </c>
      <c r="K20" s="24"/>
    </row>
    <row r="21" spans="1:14" ht="24" customHeight="1" x14ac:dyDescent="0.35">
      <c r="A21" s="16">
        <v>19</v>
      </c>
      <c r="B21" s="14"/>
      <c r="C21" s="14"/>
      <c r="D21" s="14">
        <v>8268</v>
      </c>
      <c r="E21" s="14"/>
      <c r="F21" s="14"/>
      <c r="G21" s="14"/>
      <c r="H21" s="14"/>
      <c r="I21" s="14"/>
      <c r="J21" s="29">
        <f t="shared" si="0"/>
        <v>8268</v>
      </c>
      <c r="K21" s="26"/>
    </row>
    <row r="22" spans="1:14" ht="24" customHeight="1" x14ac:dyDescent="0.35">
      <c r="A22" s="11">
        <v>20</v>
      </c>
      <c r="B22" s="14"/>
      <c r="C22" s="14">
        <v>9440</v>
      </c>
      <c r="D22" s="14"/>
      <c r="E22" s="14"/>
      <c r="F22" s="14"/>
      <c r="G22" s="14"/>
      <c r="H22" s="14"/>
      <c r="I22" s="14"/>
      <c r="J22" s="29">
        <f t="shared" si="0"/>
        <v>9440</v>
      </c>
      <c r="K22" s="25"/>
      <c r="N22" s="42"/>
    </row>
    <row r="23" spans="1:14" ht="24" customHeight="1" x14ac:dyDescent="0.35">
      <c r="A23" s="15">
        <v>21</v>
      </c>
      <c r="B23" s="14"/>
      <c r="C23" s="14"/>
      <c r="D23" s="14">
        <v>8400</v>
      </c>
      <c r="E23" s="14"/>
      <c r="F23" s="14"/>
      <c r="G23" s="14"/>
      <c r="H23" s="14"/>
      <c r="I23" s="14"/>
      <c r="J23" s="29">
        <f t="shared" si="0"/>
        <v>8400</v>
      </c>
      <c r="K23" s="24"/>
    </row>
    <row r="24" spans="1:14" ht="24" customHeight="1" x14ac:dyDescent="0.35">
      <c r="A24" s="16">
        <v>22</v>
      </c>
      <c r="B24" s="14"/>
      <c r="C24" s="14"/>
      <c r="D24" s="14">
        <v>8580</v>
      </c>
      <c r="E24" s="14"/>
      <c r="F24" s="14"/>
      <c r="G24" s="14"/>
      <c r="H24" s="14"/>
      <c r="I24" s="14"/>
      <c r="J24" s="29">
        <f t="shared" si="0"/>
        <v>8580</v>
      </c>
      <c r="K24" s="43"/>
    </row>
    <row r="25" spans="1:14" ht="26.25" customHeight="1" x14ac:dyDescent="0.3">
      <c r="A25" s="18">
        <v>23</v>
      </c>
      <c r="B25" s="14"/>
      <c r="C25" s="14"/>
      <c r="D25" s="14"/>
      <c r="E25" s="14"/>
      <c r="F25" s="14"/>
      <c r="G25" s="14"/>
      <c r="H25" s="14"/>
      <c r="I25" s="14"/>
      <c r="J25" s="29">
        <f t="shared" si="0"/>
        <v>0</v>
      </c>
      <c r="K25" s="41" t="s">
        <v>6</v>
      </c>
    </row>
    <row r="26" spans="1:14" ht="24" customHeight="1" x14ac:dyDescent="0.35">
      <c r="A26" s="18">
        <v>24</v>
      </c>
      <c r="B26" s="14"/>
      <c r="C26" s="14"/>
      <c r="D26" s="14">
        <v>8244</v>
      </c>
      <c r="E26" s="14"/>
      <c r="F26" s="14"/>
      <c r="G26" s="14"/>
      <c r="H26" s="14"/>
      <c r="I26" s="14"/>
      <c r="J26" s="29">
        <f t="shared" si="0"/>
        <v>8244</v>
      </c>
      <c r="K26" s="26"/>
    </row>
    <row r="27" spans="1:14" ht="24" customHeight="1" x14ac:dyDescent="0.35">
      <c r="A27" s="18">
        <v>25</v>
      </c>
      <c r="B27" s="14"/>
      <c r="C27" s="14">
        <v>8400</v>
      </c>
      <c r="D27" s="14">
        <v>3528</v>
      </c>
      <c r="E27" s="14"/>
      <c r="F27" s="14"/>
      <c r="G27" s="14"/>
      <c r="H27" s="14"/>
      <c r="I27" s="14"/>
      <c r="J27" s="29">
        <f t="shared" si="0"/>
        <v>11928</v>
      </c>
      <c r="K27" s="26"/>
    </row>
    <row r="28" spans="1:14" ht="24" customHeight="1" x14ac:dyDescent="0.35">
      <c r="A28" s="18">
        <v>26</v>
      </c>
      <c r="B28" s="14"/>
      <c r="C28" s="14"/>
      <c r="D28" s="14">
        <v>8400</v>
      </c>
      <c r="E28" s="14"/>
      <c r="F28" s="14"/>
      <c r="G28" s="14"/>
      <c r="H28" s="14"/>
      <c r="I28" s="14"/>
      <c r="J28" s="29">
        <f t="shared" si="0"/>
        <v>8400</v>
      </c>
      <c r="K28" s="25"/>
    </row>
    <row r="29" spans="1:14" ht="24" customHeight="1" x14ac:dyDescent="0.35">
      <c r="A29" s="18">
        <v>27</v>
      </c>
      <c r="B29" s="14"/>
      <c r="C29" s="14"/>
      <c r="D29" s="14">
        <v>8220</v>
      </c>
      <c r="E29" s="14"/>
      <c r="F29" s="14"/>
      <c r="G29" s="14"/>
      <c r="H29" s="14"/>
      <c r="I29" s="14"/>
      <c r="J29" s="29">
        <f t="shared" si="0"/>
        <v>8220</v>
      </c>
      <c r="K29" s="24"/>
    </row>
    <row r="30" spans="1:14" ht="24" customHeight="1" x14ac:dyDescent="0.35">
      <c r="A30" s="11">
        <v>28</v>
      </c>
      <c r="B30" s="14"/>
      <c r="C30" s="14">
        <v>10160</v>
      </c>
      <c r="D30" s="14"/>
      <c r="E30" s="14"/>
      <c r="F30" s="14"/>
      <c r="G30" s="14"/>
      <c r="H30" s="14"/>
      <c r="I30" s="14"/>
      <c r="J30" s="29">
        <f t="shared" si="0"/>
        <v>10160</v>
      </c>
      <c r="K30" s="25"/>
    </row>
    <row r="31" spans="1:14" ht="24" customHeight="1" x14ac:dyDescent="0.35">
      <c r="A31" s="16">
        <v>29</v>
      </c>
      <c r="B31" s="14">
        <v>13750</v>
      </c>
      <c r="C31" s="14"/>
      <c r="D31" s="14"/>
      <c r="E31" s="14"/>
      <c r="F31" s="14"/>
      <c r="G31" s="14"/>
      <c r="H31" s="14"/>
      <c r="I31" s="14"/>
      <c r="J31" s="29">
        <f t="shared" si="0"/>
        <v>13750</v>
      </c>
      <c r="K31" s="24"/>
    </row>
    <row r="32" spans="1:14" ht="24" customHeight="1" x14ac:dyDescent="0.35">
      <c r="A32" s="11">
        <v>30</v>
      </c>
      <c r="B32" s="14"/>
      <c r="C32" s="14"/>
      <c r="D32" s="14"/>
      <c r="E32" s="14"/>
      <c r="F32" s="14"/>
      <c r="G32" s="14"/>
      <c r="H32" s="14"/>
      <c r="I32" s="14"/>
      <c r="J32" s="29">
        <f t="shared" si="0"/>
        <v>0</v>
      </c>
      <c r="K32" s="24" t="s">
        <v>6</v>
      </c>
    </row>
    <row r="33" spans="1:12" ht="24" customHeight="1" thickBot="1" x14ac:dyDescent="0.4">
      <c r="A33" s="17">
        <v>31</v>
      </c>
      <c r="B33" s="19"/>
      <c r="C33" s="2"/>
      <c r="D33" s="19">
        <v>8376</v>
      </c>
      <c r="E33" s="19"/>
      <c r="F33" s="19"/>
      <c r="G33" s="19"/>
      <c r="H33" s="19"/>
      <c r="I33" s="2"/>
      <c r="J33" s="29">
        <f t="shared" si="0"/>
        <v>8376</v>
      </c>
      <c r="K33" s="27"/>
    </row>
    <row r="34" spans="1:12" ht="24" customHeight="1" thickTop="1" thickBot="1" x14ac:dyDescent="0.35">
      <c r="A34" s="8"/>
      <c r="B34" s="8">
        <f t="shared" ref="B34:H34" si="1">SUM(B3:B33)</f>
        <v>46002</v>
      </c>
      <c r="C34" s="8">
        <f t="shared" si="1"/>
        <v>79040</v>
      </c>
      <c r="D34" s="8">
        <f t="shared" si="1"/>
        <v>147576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>SUM(I3:I33)</f>
        <v>0</v>
      </c>
      <c r="J34" s="29">
        <f t="shared" si="0"/>
        <v>272618</v>
      </c>
      <c r="K34" s="9"/>
    </row>
    <row r="35" spans="1:12" ht="24" customHeight="1" thickTop="1" thickBot="1" x14ac:dyDescent="0.35">
      <c r="A35" s="8"/>
      <c r="B35" s="8">
        <f>B34*1.9</f>
        <v>87403.8</v>
      </c>
      <c r="C35" s="32">
        <f>C34*1.95</f>
        <v>154128</v>
      </c>
      <c r="D35" s="33">
        <f>D34*2</f>
        <v>295152</v>
      </c>
      <c r="E35" s="32">
        <f>E34*2.2</f>
        <v>0</v>
      </c>
      <c r="F35" s="32">
        <f>F34*4.2</f>
        <v>0</v>
      </c>
      <c r="G35" s="33">
        <f>G34*2.7</f>
        <v>0</v>
      </c>
      <c r="H35" s="32">
        <f>H34*4</f>
        <v>0</v>
      </c>
      <c r="I35" s="32">
        <f>I34*5.2</f>
        <v>0</v>
      </c>
      <c r="J35" s="29">
        <f t="shared" si="0"/>
        <v>536683.80000000005</v>
      </c>
      <c r="K35" s="9">
        <f>J35/J34</f>
        <v>1.9686293641652424</v>
      </c>
      <c r="L35" s="31"/>
    </row>
    <row r="36" spans="1:12" ht="19.5" thickTop="1" x14ac:dyDescent="0.3">
      <c r="A36" s="30"/>
      <c r="B36" s="2"/>
      <c r="C36" s="2"/>
      <c r="D36" s="2"/>
      <c r="E36" s="2"/>
      <c r="F36" s="2"/>
      <c r="G36" s="2"/>
      <c r="H36" s="2"/>
      <c r="I36" s="2"/>
      <c r="J36" s="28"/>
    </row>
    <row r="37" spans="1:12" ht="18.7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8.75" x14ac:dyDescent="0.3">
      <c r="A38" s="14"/>
      <c r="B38" s="14" t="s">
        <v>8</v>
      </c>
      <c r="C38" s="14"/>
      <c r="D38" s="14" t="s">
        <v>9</v>
      </c>
      <c r="E38" s="14" t="s">
        <v>10</v>
      </c>
      <c r="F38" s="14" t="s">
        <v>11</v>
      </c>
      <c r="G38" s="14" t="s">
        <v>12</v>
      </c>
      <c r="H38" s="14" t="s">
        <v>13</v>
      </c>
      <c r="I38" s="14" t="s">
        <v>15</v>
      </c>
      <c r="J38" s="35" t="s">
        <v>16</v>
      </c>
      <c r="K38" s="34"/>
    </row>
    <row r="39" spans="1:12" ht="18.75" x14ac:dyDescent="0.3">
      <c r="A39" s="14"/>
      <c r="B39" s="14" t="s">
        <v>14</v>
      </c>
      <c r="C39" s="14"/>
      <c r="D39" s="14">
        <f>F34</f>
        <v>0</v>
      </c>
      <c r="E39" s="14">
        <f>D39*2.17/1000</f>
        <v>0</v>
      </c>
      <c r="F39" s="14">
        <f>D39*13.33/1000</f>
        <v>0</v>
      </c>
      <c r="G39" s="14">
        <f>D39*5.83/1000</f>
        <v>0</v>
      </c>
      <c r="H39" s="14">
        <f>G39+F39+E39</f>
        <v>0</v>
      </c>
      <c r="I39" s="14">
        <f>D39/62.5</f>
        <v>0</v>
      </c>
      <c r="J39" s="14">
        <f>IFERROR(F35/I39,0)</f>
        <v>0</v>
      </c>
    </row>
    <row r="40" spans="1:12" ht="18.75" x14ac:dyDescent="0.3">
      <c r="A40" s="14"/>
      <c r="B40" s="14" t="s">
        <v>17</v>
      </c>
      <c r="C40" s="14"/>
      <c r="D40" s="14">
        <f>I34</f>
        <v>0</v>
      </c>
      <c r="E40" s="14">
        <f>D40*3.25/1000</f>
        <v>0</v>
      </c>
      <c r="F40" s="14">
        <f>D40*1.5*4.55/1000</f>
        <v>0</v>
      </c>
      <c r="G40" s="14">
        <f>D40*1.5*12.12/1000</f>
        <v>0</v>
      </c>
      <c r="H40" s="14">
        <f>G40+F40+E40</f>
        <v>0</v>
      </c>
      <c r="I40" s="14">
        <f>D40/41.625</f>
        <v>0</v>
      </c>
      <c r="J40" s="14">
        <f>IFERROR(F36/I40,0)</f>
        <v>0</v>
      </c>
    </row>
    <row r="41" spans="1:12" ht="18.75" x14ac:dyDescent="0.3">
      <c r="A41" s="14"/>
      <c r="B41" s="14" t="s">
        <v>18</v>
      </c>
      <c r="C41" s="14"/>
      <c r="D41" s="14">
        <f>B34</f>
        <v>46002</v>
      </c>
      <c r="E41" s="14">
        <f>D41*1.18/1000</f>
        <v>54.282359999999997</v>
      </c>
      <c r="F41" s="14">
        <f>D41*7.27/1000</f>
        <v>334.43453999999997</v>
      </c>
      <c r="G41" s="14">
        <f>D41*3.18/1000</f>
        <v>146.28636</v>
      </c>
      <c r="H41" s="14">
        <f>G41+F41+E41</f>
        <v>535.00325999999995</v>
      </c>
      <c r="I41" s="14">
        <f>D41/125</f>
        <v>368.01600000000002</v>
      </c>
      <c r="J41" s="14">
        <f>B35/I41</f>
        <v>237.5</v>
      </c>
    </row>
    <row r="42" spans="1:12" ht="18.75" x14ac:dyDescent="0.3">
      <c r="A42" s="14"/>
      <c r="B42" s="14" t="s">
        <v>19</v>
      </c>
      <c r="C42" s="14"/>
      <c r="D42" s="14">
        <f>C34</f>
        <v>79040</v>
      </c>
      <c r="E42" s="14">
        <f>D42*1.63/1000</f>
        <v>128.83519999999999</v>
      </c>
      <c r="F42" s="14">
        <f>D42*10/1000</f>
        <v>790.4</v>
      </c>
      <c r="G42" s="14">
        <f>D42*4.4/1000</f>
        <v>347.77600000000001</v>
      </c>
      <c r="H42" s="14">
        <f t="shared" ref="H42:H44" si="2">G42+F42+E42</f>
        <v>1267.0111999999999</v>
      </c>
      <c r="I42" s="14">
        <f>D42/83.33</f>
        <v>948.51794071762868</v>
      </c>
      <c r="J42" s="14">
        <f>C35/I42</f>
        <v>162.49350000000001</v>
      </c>
    </row>
    <row r="43" spans="1:12" ht="18.75" x14ac:dyDescent="0.3">
      <c r="A43" s="14"/>
      <c r="B43" s="14" t="s">
        <v>20</v>
      </c>
      <c r="C43" s="14"/>
      <c r="D43" s="14">
        <f>D34</f>
        <v>147576</v>
      </c>
      <c r="E43" s="14">
        <f>D43*1.81/1000</f>
        <v>267.11255999999997</v>
      </c>
      <c r="F43" s="14">
        <f>D43*11.11/1000</f>
        <v>1639.56936</v>
      </c>
      <c r="G43" s="14">
        <f>D43*4.86/1000</f>
        <v>717.21936000000005</v>
      </c>
      <c r="H43" s="14">
        <f t="shared" si="2"/>
        <v>2623.90128</v>
      </c>
      <c r="I43" s="14">
        <f t="shared" ref="I43:I44" si="3">D43/62.5</f>
        <v>2361.2159999999999</v>
      </c>
      <c r="J43" s="14">
        <f>D35/I43</f>
        <v>125</v>
      </c>
    </row>
    <row r="44" spans="1:12" ht="18.75" x14ac:dyDescent="0.3">
      <c r="A44" s="14"/>
      <c r="B44" s="37" t="s">
        <v>21</v>
      </c>
      <c r="C44" s="14"/>
      <c r="D44" s="14">
        <f>E34</f>
        <v>0</v>
      </c>
      <c r="E44" s="14">
        <f>D44*2.18/1000</f>
        <v>0</v>
      </c>
      <c r="F44" s="14">
        <f>D44*1.5*4.17/1000</f>
        <v>0</v>
      </c>
      <c r="G44" s="14">
        <f>D44*11.11/1000</f>
        <v>0</v>
      </c>
      <c r="H44" s="14">
        <f t="shared" si="2"/>
        <v>0</v>
      </c>
      <c r="I44" s="14">
        <f t="shared" si="3"/>
        <v>0</v>
      </c>
      <c r="J44" s="14">
        <f>IFERROR(F40/I44,0)</f>
        <v>0</v>
      </c>
    </row>
    <row r="45" spans="1:12" ht="18.75" x14ac:dyDescent="0.3">
      <c r="A45" s="14"/>
      <c r="B45" s="36" t="s">
        <v>22</v>
      </c>
      <c r="C45" s="14"/>
      <c r="D45" s="14">
        <f>G34</f>
        <v>0</v>
      </c>
      <c r="E45" s="14">
        <f>D45*1.98/1000</f>
        <v>0</v>
      </c>
      <c r="F45" s="14"/>
      <c r="G45" s="14"/>
      <c r="H45" s="14"/>
      <c r="I45" s="14"/>
      <c r="J45" s="14"/>
    </row>
    <row r="46" spans="1:12" ht="18.75" x14ac:dyDescent="0.3">
      <c r="A46" s="14"/>
      <c r="B46" s="14" t="s">
        <v>7</v>
      </c>
      <c r="C46" s="14"/>
      <c r="D46" s="14">
        <f>H34</f>
        <v>0</v>
      </c>
      <c r="E46" s="14">
        <f>D46*1.5*1.9/1000</f>
        <v>0</v>
      </c>
      <c r="F46" s="14"/>
      <c r="G46" s="14"/>
      <c r="H46" s="14"/>
      <c r="I46" s="14"/>
      <c r="J46" s="14"/>
    </row>
    <row r="47" spans="1:12" ht="18.75" x14ac:dyDescent="0.3">
      <c r="A47" s="14"/>
      <c r="B47" s="14"/>
      <c r="C47" s="14"/>
      <c r="D47" s="14"/>
      <c r="E47" s="14">
        <f>SUM(E39:E46)</f>
        <v>450.23011999999994</v>
      </c>
      <c r="F47" s="14">
        <f>SUM(F39:F46)</f>
        <v>2764.4038999999998</v>
      </c>
      <c r="G47" s="14">
        <f>SUM(G39:G46)</f>
        <v>1211.28172</v>
      </c>
      <c r="H47" s="14"/>
      <c r="I47" s="14">
        <f>SUM(I39:I46)</f>
        <v>3677.7499407176283</v>
      </c>
      <c r="J47" s="14"/>
    </row>
    <row r="48" spans="1:12" ht="18.7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7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75" x14ac:dyDescent="0.3">
      <c r="A51" s="2"/>
      <c r="B51" s="14" t="s">
        <v>29</v>
      </c>
      <c r="C51" s="37" t="s">
        <v>24</v>
      </c>
      <c r="D51" s="35" t="s">
        <v>25</v>
      </c>
      <c r="E51" s="35" t="s">
        <v>28</v>
      </c>
      <c r="F51" s="35" t="s">
        <v>26</v>
      </c>
      <c r="G51" s="14" t="s">
        <v>28</v>
      </c>
      <c r="H51" s="14" t="s">
        <v>27</v>
      </c>
      <c r="I51" s="14" t="s">
        <v>28</v>
      </c>
      <c r="J51" s="2"/>
    </row>
    <row r="52" spans="1:10" ht="18.75" x14ac:dyDescent="0.3">
      <c r="A52" s="2"/>
      <c r="B52" s="14" t="s">
        <v>23</v>
      </c>
      <c r="C52" s="14">
        <f>D41+D42+D43+D44+D45+D46</f>
        <v>272618</v>
      </c>
      <c r="D52" s="14">
        <f>E41+E42+E43+E44+E45+E46</f>
        <v>450.23011999999994</v>
      </c>
      <c r="E52" s="14">
        <f>D52*240</f>
        <v>108055.22879999998</v>
      </c>
      <c r="F52" s="14">
        <f>F41+F42+F43+F44</f>
        <v>2764.4038999999998</v>
      </c>
      <c r="G52" s="14">
        <f>F52*54</f>
        <v>149277.8106</v>
      </c>
      <c r="H52" s="14">
        <f>G41+G42+G43+G44+G45+G46</f>
        <v>1211.28172</v>
      </c>
      <c r="I52" s="14">
        <f>H52*3</f>
        <v>3633.8451599999999</v>
      </c>
      <c r="J52" s="2"/>
    </row>
    <row r="53" spans="1:10" ht="18.75" x14ac:dyDescent="0.3">
      <c r="A53" s="2"/>
      <c r="B53" s="14" t="s">
        <v>14</v>
      </c>
      <c r="C53" s="14">
        <f>D39+D40</f>
        <v>0</v>
      </c>
      <c r="D53" s="14">
        <f>E39+E40</f>
        <v>0</v>
      </c>
      <c r="E53" s="14">
        <f>D53*240</f>
        <v>0</v>
      </c>
      <c r="F53" s="14">
        <f>F39+F40</f>
        <v>0</v>
      </c>
      <c r="G53" s="14">
        <f>F53*54</f>
        <v>0</v>
      </c>
      <c r="H53" s="14">
        <f>G39+G40</f>
        <v>0</v>
      </c>
      <c r="I53" s="14">
        <f>H53*3</f>
        <v>0</v>
      </c>
      <c r="J53" s="2"/>
    </row>
    <row r="54" spans="1:10" ht="18.75" x14ac:dyDescent="0.3">
      <c r="A54" s="2"/>
      <c r="B54" s="2"/>
      <c r="C54" s="2"/>
      <c r="D54" s="2"/>
      <c r="E54" s="2"/>
      <c r="F54" s="100" t="s">
        <v>78</v>
      </c>
      <c r="G54" s="100"/>
      <c r="H54" s="100"/>
      <c r="I54" s="14">
        <f>E52+G52+I52</f>
        <v>260966.88455999998</v>
      </c>
      <c r="J54" s="2"/>
    </row>
    <row r="55" spans="1:10" x14ac:dyDescent="0.25">
      <c r="A55" s="1"/>
      <c r="B55" s="38"/>
      <c r="C55" s="38"/>
      <c r="D55" s="38"/>
      <c r="E55" s="1"/>
      <c r="F55" s="1"/>
      <c r="G55" s="1"/>
      <c r="H55" s="1"/>
      <c r="I55" s="1"/>
      <c r="J55" s="1"/>
    </row>
    <row r="56" spans="1:10" x14ac:dyDescent="0.25">
      <c r="B56" s="20"/>
      <c r="C56" s="20"/>
      <c r="D56" s="20"/>
    </row>
    <row r="57" spans="1:10" x14ac:dyDescent="0.25">
      <c r="B57" s="20"/>
      <c r="C57" s="20"/>
      <c r="D57" s="20"/>
    </row>
  </sheetData>
  <mergeCells count="3">
    <mergeCell ref="A1:F1"/>
    <mergeCell ref="H1:K1"/>
    <mergeCell ref="F54:H54"/>
  </mergeCells>
  <pageMargins left="0.23622047244094491" right="0.15748031496062992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pane ySplit="2" topLeftCell="A24" activePane="bottomLeft" state="frozen"/>
      <selection pane="bottomLeft" activeCell="G32" sqref="G32"/>
    </sheetView>
  </sheetViews>
  <sheetFormatPr defaultRowHeight="15" x14ac:dyDescent="0.25"/>
  <cols>
    <col min="1" max="1" width="6.42578125" customWidth="1"/>
    <col min="2" max="3" width="8.85546875" customWidth="1"/>
    <col min="4" max="4" width="9.42578125" bestFit="1" customWidth="1"/>
    <col min="5" max="5" width="9.7109375" customWidth="1"/>
    <col min="6" max="6" width="9.42578125" bestFit="1" customWidth="1"/>
    <col min="7" max="8" width="8.85546875" customWidth="1"/>
    <col min="9" max="9" width="9.28515625" customWidth="1"/>
    <col min="10" max="10" width="10.140625" bestFit="1" customWidth="1"/>
    <col min="11" max="11" width="10" customWidth="1"/>
  </cols>
  <sheetData>
    <row r="1" spans="1:15" ht="24" thickBot="1" x14ac:dyDescent="0.4">
      <c r="A1" s="98" t="s">
        <v>30</v>
      </c>
      <c r="B1" s="98"/>
      <c r="C1" s="98"/>
      <c r="D1" s="98"/>
      <c r="E1" s="98"/>
      <c r="F1" s="98"/>
      <c r="H1" s="99" t="s">
        <v>68</v>
      </c>
      <c r="I1" s="99"/>
      <c r="J1" s="99"/>
      <c r="K1" s="99"/>
    </row>
    <row r="2" spans="1:15" ht="18.75" customHeight="1" thickTop="1" thickBot="1" x14ac:dyDescent="0.3">
      <c r="A2" s="3" t="s">
        <v>71</v>
      </c>
      <c r="B2" s="6" t="s">
        <v>33</v>
      </c>
      <c r="C2" s="6" t="s">
        <v>93</v>
      </c>
      <c r="D2" s="6" t="s">
        <v>91</v>
      </c>
      <c r="E2" s="6" t="s">
        <v>1</v>
      </c>
      <c r="F2" s="7" t="s">
        <v>0</v>
      </c>
      <c r="G2" s="6" t="s">
        <v>2</v>
      </c>
      <c r="H2" s="7" t="s">
        <v>7</v>
      </c>
      <c r="I2" s="5" t="s">
        <v>3</v>
      </c>
      <c r="J2" s="4" t="s">
        <v>4</v>
      </c>
      <c r="K2" s="6" t="s">
        <v>5</v>
      </c>
    </row>
    <row r="3" spans="1:15" ht="24" customHeight="1" thickTop="1" x14ac:dyDescent="0.35">
      <c r="A3" s="10">
        <v>1</v>
      </c>
      <c r="B3" s="12"/>
      <c r="C3" s="2">
        <v>11872</v>
      </c>
      <c r="D3" s="13"/>
      <c r="E3" s="12"/>
      <c r="F3" s="2"/>
      <c r="G3" s="13"/>
      <c r="H3" s="12"/>
      <c r="I3" s="2"/>
      <c r="J3" s="29">
        <f>SUM(B3:I3)</f>
        <v>11872</v>
      </c>
      <c r="K3" s="23"/>
    </row>
    <row r="4" spans="1:15" ht="24" customHeight="1" x14ac:dyDescent="0.35">
      <c r="A4" s="15">
        <v>2</v>
      </c>
      <c r="B4" s="14"/>
      <c r="C4" s="14"/>
      <c r="D4" s="14">
        <v>8028</v>
      </c>
      <c r="E4" s="14"/>
      <c r="F4" s="14"/>
      <c r="G4" s="14"/>
      <c r="H4" s="14"/>
      <c r="I4" s="14"/>
      <c r="J4" s="29">
        <f t="shared" ref="J4:J35" si="0">SUM(B4:I4)</f>
        <v>8028</v>
      </c>
      <c r="K4" s="24"/>
    </row>
    <row r="5" spans="1:15" ht="24" customHeight="1" x14ac:dyDescent="0.35">
      <c r="A5" s="15">
        <v>3</v>
      </c>
      <c r="B5" s="14"/>
      <c r="C5" s="14">
        <v>5040</v>
      </c>
      <c r="D5" s="14">
        <v>8208</v>
      </c>
      <c r="E5" s="14"/>
      <c r="F5" s="14"/>
      <c r="G5" s="14"/>
      <c r="H5" s="14"/>
      <c r="I5" s="14"/>
      <c r="J5" s="29">
        <f t="shared" si="0"/>
        <v>13248</v>
      </c>
      <c r="K5" s="25"/>
    </row>
    <row r="6" spans="1:15" ht="24" customHeight="1" x14ac:dyDescent="0.35">
      <c r="A6" s="15">
        <v>4</v>
      </c>
      <c r="B6" s="14"/>
      <c r="C6" s="14"/>
      <c r="D6" s="14">
        <v>8580</v>
      </c>
      <c r="E6" s="14"/>
      <c r="F6" s="14"/>
      <c r="G6" s="14"/>
      <c r="H6" s="14"/>
      <c r="I6" s="14"/>
      <c r="J6" s="29">
        <f t="shared" si="0"/>
        <v>8580</v>
      </c>
      <c r="K6" s="22"/>
    </row>
    <row r="7" spans="1:15" ht="24" customHeight="1" x14ac:dyDescent="0.35">
      <c r="A7" s="15">
        <v>5</v>
      </c>
      <c r="B7" s="44">
        <v>16170</v>
      </c>
      <c r="C7" s="14"/>
      <c r="D7" s="14"/>
      <c r="E7" s="14"/>
      <c r="F7" s="14"/>
      <c r="G7" s="14"/>
      <c r="H7" s="14"/>
      <c r="I7" s="14"/>
      <c r="J7" s="29">
        <f t="shared" si="0"/>
        <v>16170</v>
      </c>
      <c r="K7" s="22"/>
      <c r="N7" s="20"/>
    </row>
    <row r="8" spans="1:15" ht="24" customHeight="1" x14ac:dyDescent="0.35">
      <c r="A8" s="15">
        <v>6</v>
      </c>
      <c r="B8" s="46"/>
      <c r="C8" s="14"/>
      <c r="D8" s="45"/>
      <c r="E8" s="14"/>
      <c r="F8" s="14"/>
      <c r="G8" s="14"/>
      <c r="H8" s="14"/>
      <c r="I8" s="14"/>
      <c r="J8" s="29">
        <f t="shared" si="0"/>
        <v>0</v>
      </c>
      <c r="K8" s="22" t="s">
        <v>6</v>
      </c>
    </row>
    <row r="9" spans="1:15" ht="24" customHeight="1" x14ac:dyDescent="0.35">
      <c r="A9" s="15">
        <v>7</v>
      </c>
      <c r="B9" s="14"/>
      <c r="C9" s="45">
        <v>1200</v>
      </c>
      <c r="D9" s="14">
        <v>5520</v>
      </c>
      <c r="E9" s="14"/>
      <c r="F9" s="14"/>
      <c r="G9" s="14"/>
      <c r="H9" s="14"/>
      <c r="I9" s="14"/>
      <c r="J9" s="29">
        <f t="shared" si="0"/>
        <v>6720</v>
      </c>
      <c r="K9" s="22"/>
    </row>
    <row r="10" spans="1:15" ht="24" customHeight="1" x14ac:dyDescent="0.35">
      <c r="A10" s="15">
        <v>8</v>
      </c>
      <c r="B10" s="44"/>
      <c r="C10" s="46">
        <v>6720</v>
      </c>
      <c r="D10" s="14">
        <v>8832</v>
      </c>
      <c r="E10" s="14"/>
      <c r="F10" s="14"/>
      <c r="G10" s="14"/>
      <c r="H10" s="14"/>
      <c r="I10" s="14"/>
      <c r="J10" s="29">
        <f t="shared" si="0"/>
        <v>15552</v>
      </c>
      <c r="K10" s="22"/>
    </row>
    <row r="11" spans="1:15" ht="24" customHeight="1" x14ac:dyDescent="0.35">
      <c r="A11" s="16">
        <v>9</v>
      </c>
      <c r="B11" s="44"/>
      <c r="C11" s="46"/>
      <c r="D11" s="14">
        <v>6000</v>
      </c>
      <c r="E11" s="14"/>
      <c r="F11" s="14"/>
      <c r="G11" s="14"/>
      <c r="H11" s="14"/>
      <c r="I11" s="14"/>
      <c r="J11" s="29">
        <f t="shared" si="0"/>
        <v>6000</v>
      </c>
      <c r="K11" s="24"/>
      <c r="O11" s="21"/>
    </row>
    <row r="12" spans="1:15" ht="24" customHeight="1" x14ac:dyDescent="0.35">
      <c r="A12" s="11">
        <v>10</v>
      </c>
      <c r="B12" s="14"/>
      <c r="C12" s="14">
        <v>5040</v>
      </c>
      <c r="D12" s="14">
        <v>8136</v>
      </c>
      <c r="E12" s="14"/>
      <c r="F12" s="14"/>
      <c r="G12" s="14"/>
      <c r="H12" s="14"/>
      <c r="I12" s="14"/>
      <c r="J12" s="29">
        <f t="shared" si="0"/>
        <v>13176</v>
      </c>
      <c r="K12" s="24"/>
    </row>
    <row r="13" spans="1:15" ht="24" customHeight="1" x14ac:dyDescent="0.35">
      <c r="A13" s="15">
        <v>11</v>
      </c>
      <c r="B13" s="14"/>
      <c r="C13" s="14"/>
      <c r="D13" s="14">
        <v>10080</v>
      </c>
      <c r="E13" s="14"/>
      <c r="F13" s="14"/>
      <c r="G13" s="14"/>
      <c r="H13" s="14"/>
      <c r="I13" s="14"/>
      <c r="J13" s="29">
        <f t="shared" si="0"/>
        <v>10080</v>
      </c>
      <c r="K13" s="25"/>
    </row>
    <row r="14" spans="1:15" ht="24" customHeight="1" x14ac:dyDescent="0.35">
      <c r="A14" s="16">
        <v>12</v>
      </c>
      <c r="B14" s="14"/>
      <c r="C14" s="14"/>
      <c r="D14" s="14">
        <v>9480</v>
      </c>
      <c r="E14" s="14"/>
      <c r="F14" s="14"/>
      <c r="G14" s="14"/>
      <c r="H14" s="14"/>
      <c r="I14" s="14"/>
      <c r="J14" s="29">
        <f t="shared" si="0"/>
        <v>9480</v>
      </c>
      <c r="K14" s="24"/>
    </row>
    <row r="15" spans="1:15" ht="24" customHeight="1" x14ac:dyDescent="0.35">
      <c r="A15" s="11">
        <v>13</v>
      </c>
      <c r="B15" s="14"/>
      <c r="C15" s="14"/>
      <c r="D15" s="14"/>
      <c r="E15" s="14"/>
      <c r="F15" s="14"/>
      <c r="G15" s="14"/>
      <c r="H15" s="14"/>
      <c r="I15" s="14"/>
      <c r="J15" s="29">
        <f t="shared" si="0"/>
        <v>0</v>
      </c>
      <c r="K15" s="24" t="s">
        <v>6</v>
      </c>
    </row>
    <row r="16" spans="1:15" ht="24.75" customHeight="1" x14ac:dyDescent="0.35">
      <c r="A16" s="15">
        <v>14</v>
      </c>
      <c r="B16" s="14"/>
      <c r="C16" s="14">
        <v>6624</v>
      </c>
      <c r="D16" s="14">
        <v>10200</v>
      </c>
      <c r="E16" s="14"/>
      <c r="F16" s="14"/>
      <c r="G16" s="14"/>
      <c r="H16" s="14"/>
      <c r="I16" s="14"/>
      <c r="J16" s="29">
        <f t="shared" si="0"/>
        <v>16824</v>
      </c>
      <c r="K16" s="40"/>
    </row>
    <row r="17" spans="1:14" ht="24" customHeight="1" x14ac:dyDescent="0.35">
      <c r="A17" s="15">
        <v>15</v>
      </c>
      <c r="B17" s="14"/>
      <c r="C17" s="14">
        <v>9984</v>
      </c>
      <c r="D17" s="14">
        <v>1260</v>
      </c>
      <c r="E17" s="14"/>
      <c r="F17" s="14"/>
      <c r="G17" s="14"/>
      <c r="H17" s="14"/>
      <c r="I17" s="14"/>
      <c r="J17" s="29">
        <f t="shared" si="0"/>
        <v>11244</v>
      </c>
      <c r="K17" s="24"/>
    </row>
    <row r="18" spans="1:14" ht="24" customHeight="1" x14ac:dyDescent="0.3">
      <c r="A18" s="15">
        <v>16</v>
      </c>
      <c r="B18" s="14"/>
      <c r="C18" s="14"/>
      <c r="D18" s="14">
        <v>10296</v>
      </c>
      <c r="E18" s="14"/>
      <c r="F18" s="14"/>
      <c r="G18" s="14"/>
      <c r="H18" s="14"/>
      <c r="I18" s="14"/>
      <c r="J18" s="29">
        <f t="shared" si="0"/>
        <v>10296</v>
      </c>
      <c r="K18" s="39"/>
    </row>
    <row r="19" spans="1:14" ht="24" customHeight="1" x14ac:dyDescent="0.35">
      <c r="A19" s="15">
        <v>17</v>
      </c>
      <c r="B19" s="14"/>
      <c r="C19" s="14"/>
      <c r="D19" s="14">
        <v>9180</v>
      </c>
      <c r="E19" s="14"/>
      <c r="F19" s="14"/>
      <c r="G19" s="14"/>
      <c r="H19" s="14"/>
      <c r="I19" s="14"/>
      <c r="J19" s="29">
        <f t="shared" si="0"/>
        <v>9180</v>
      </c>
      <c r="K19" s="24"/>
    </row>
    <row r="20" spans="1:14" ht="24" customHeight="1" x14ac:dyDescent="0.35">
      <c r="A20" s="16">
        <v>18</v>
      </c>
      <c r="B20" s="14"/>
      <c r="C20" s="14"/>
      <c r="D20" s="14">
        <v>10272</v>
      </c>
      <c r="E20" s="14"/>
      <c r="F20" s="14"/>
      <c r="G20" s="14"/>
      <c r="H20" s="14"/>
      <c r="I20" s="14"/>
      <c r="J20" s="29">
        <f t="shared" si="0"/>
        <v>10272</v>
      </c>
      <c r="K20" s="24"/>
    </row>
    <row r="21" spans="1:14" ht="24" customHeight="1" x14ac:dyDescent="0.35">
      <c r="A21" s="16">
        <v>19</v>
      </c>
      <c r="B21" s="14">
        <v>18084</v>
      </c>
      <c r="C21" s="14"/>
      <c r="D21" s="14"/>
      <c r="E21" s="14"/>
      <c r="F21" s="14"/>
      <c r="G21" s="14"/>
      <c r="H21" s="14"/>
      <c r="I21" s="14"/>
      <c r="J21" s="29">
        <f t="shared" si="0"/>
        <v>18084</v>
      </c>
      <c r="K21" s="26"/>
    </row>
    <row r="22" spans="1:14" ht="24" customHeight="1" x14ac:dyDescent="0.35">
      <c r="A22" s="11">
        <v>20</v>
      </c>
      <c r="B22" s="14"/>
      <c r="C22" s="14"/>
      <c r="D22" s="14"/>
      <c r="E22" s="14"/>
      <c r="F22" s="14"/>
      <c r="G22" s="14"/>
      <c r="H22" s="14"/>
      <c r="I22" s="14"/>
      <c r="J22" s="29">
        <f t="shared" si="0"/>
        <v>0</v>
      </c>
      <c r="K22" s="25" t="s">
        <v>6</v>
      </c>
      <c r="N22" s="42"/>
    </row>
    <row r="23" spans="1:14" ht="24" customHeight="1" x14ac:dyDescent="0.35">
      <c r="A23" s="15">
        <v>21</v>
      </c>
      <c r="B23" s="14"/>
      <c r="C23" s="14">
        <v>12000</v>
      </c>
      <c r="D23" s="14"/>
      <c r="E23" s="14"/>
      <c r="F23" s="14"/>
      <c r="G23" s="14"/>
      <c r="H23" s="14"/>
      <c r="I23" s="14"/>
      <c r="J23" s="29">
        <f t="shared" si="0"/>
        <v>12000</v>
      </c>
      <c r="K23" s="24"/>
    </row>
    <row r="24" spans="1:14" ht="24" customHeight="1" x14ac:dyDescent="0.35">
      <c r="A24" s="16">
        <v>22</v>
      </c>
      <c r="B24" s="14"/>
      <c r="C24" s="14"/>
      <c r="D24" s="14"/>
      <c r="E24" s="14"/>
      <c r="F24" s="14"/>
      <c r="G24" s="14"/>
      <c r="H24" s="14"/>
      <c r="I24" s="14"/>
      <c r="J24" s="29">
        <f t="shared" si="0"/>
        <v>0</v>
      </c>
      <c r="K24" s="43" t="s">
        <v>67</v>
      </c>
    </row>
    <row r="25" spans="1:14" ht="26.25" customHeight="1" x14ac:dyDescent="0.3">
      <c r="A25" s="18">
        <v>23</v>
      </c>
      <c r="B25" s="14"/>
      <c r="C25" s="14">
        <v>5456</v>
      </c>
      <c r="D25" s="14">
        <v>10260</v>
      </c>
      <c r="E25" s="14"/>
      <c r="F25" s="14"/>
      <c r="G25" s="14"/>
      <c r="H25" s="14"/>
      <c r="I25" s="14"/>
      <c r="J25" s="29">
        <f t="shared" si="0"/>
        <v>15716</v>
      </c>
      <c r="K25" s="41"/>
    </row>
    <row r="26" spans="1:14" ht="24" customHeight="1" x14ac:dyDescent="0.35">
      <c r="A26" s="18">
        <v>24</v>
      </c>
      <c r="B26" s="14"/>
      <c r="C26" s="14"/>
      <c r="D26" s="14">
        <v>9300</v>
      </c>
      <c r="E26" s="14"/>
      <c r="F26" s="14"/>
      <c r="G26" s="14"/>
      <c r="H26" s="14"/>
      <c r="I26" s="14"/>
      <c r="J26" s="29">
        <f t="shared" si="0"/>
        <v>9300</v>
      </c>
      <c r="K26" s="26"/>
    </row>
    <row r="27" spans="1:14" ht="24" customHeight="1" x14ac:dyDescent="0.35">
      <c r="A27" s="18">
        <v>25</v>
      </c>
      <c r="B27" s="14"/>
      <c r="C27" s="14">
        <v>5040</v>
      </c>
      <c r="D27" s="14">
        <v>8640</v>
      </c>
      <c r="E27" s="14"/>
      <c r="F27" s="14"/>
      <c r="G27" s="14"/>
      <c r="H27" s="14"/>
      <c r="I27" s="14"/>
      <c r="J27" s="29">
        <f t="shared" si="0"/>
        <v>13680</v>
      </c>
      <c r="K27" s="26"/>
    </row>
    <row r="28" spans="1:14" ht="24" customHeight="1" x14ac:dyDescent="0.35">
      <c r="A28" s="18">
        <v>26</v>
      </c>
      <c r="B28" s="14"/>
      <c r="C28" s="14"/>
      <c r="D28" s="14">
        <v>9240</v>
      </c>
      <c r="E28" s="14"/>
      <c r="F28" s="14"/>
      <c r="G28" s="14"/>
      <c r="H28" s="14"/>
      <c r="I28" s="14"/>
      <c r="J28" s="29">
        <f t="shared" si="0"/>
        <v>9240</v>
      </c>
      <c r="K28" s="25"/>
    </row>
    <row r="29" spans="1:14" ht="24" customHeight="1" x14ac:dyDescent="0.35">
      <c r="A29" s="18">
        <v>27</v>
      </c>
      <c r="B29" s="14"/>
      <c r="C29" s="14"/>
      <c r="D29" s="14"/>
      <c r="E29" s="14"/>
      <c r="F29" s="14"/>
      <c r="G29" s="14"/>
      <c r="H29" s="14"/>
      <c r="I29" s="14"/>
      <c r="J29" s="29">
        <f t="shared" si="0"/>
        <v>0</v>
      </c>
      <c r="K29" s="24" t="s">
        <v>6</v>
      </c>
    </row>
    <row r="30" spans="1:14" ht="24" customHeight="1" x14ac:dyDescent="0.35">
      <c r="A30" s="11">
        <v>28</v>
      </c>
      <c r="B30" s="14"/>
      <c r="C30" s="14">
        <v>11360</v>
      </c>
      <c r="D30" s="14"/>
      <c r="E30" s="14"/>
      <c r="F30" s="14"/>
      <c r="G30" s="14"/>
      <c r="H30" s="14"/>
      <c r="I30" s="14"/>
      <c r="J30" s="29">
        <f t="shared" si="0"/>
        <v>11360</v>
      </c>
      <c r="K30" s="25"/>
    </row>
    <row r="31" spans="1:14" ht="24" customHeight="1" x14ac:dyDescent="0.35">
      <c r="A31" s="16">
        <v>29</v>
      </c>
      <c r="B31" s="14"/>
      <c r="C31" s="14"/>
      <c r="D31" s="14"/>
      <c r="E31" s="14"/>
      <c r="F31" s="14"/>
      <c r="G31" s="14"/>
      <c r="H31" s="14"/>
      <c r="I31" s="14"/>
      <c r="J31" s="29">
        <f t="shared" si="0"/>
        <v>0</v>
      </c>
      <c r="K31" s="24"/>
    </row>
    <row r="32" spans="1:14" ht="24" customHeight="1" x14ac:dyDescent="0.35">
      <c r="A32" s="11">
        <v>30</v>
      </c>
      <c r="B32" s="14"/>
      <c r="C32" s="14"/>
      <c r="D32" s="14"/>
      <c r="E32" s="14"/>
      <c r="F32" s="14"/>
      <c r="G32" s="14"/>
      <c r="H32" s="14"/>
      <c r="I32" s="14"/>
      <c r="J32" s="29">
        <f t="shared" si="0"/>
        <v>0</v>
      </c>
      <c r="K32" s="24"/>
    </row>
    <row r="33" spans="1:12" ht="24" customHeight="1" thickBot="1" x14ac:dyDescent="0.4">
      <c r="A33" s="17">
        <v>31</v>
      </c>
      <c r="B33" s="19"/>
      <c r="C33" s="2"/>
      <c r="D33" s="19"/>
      <c r="E33" s="19"/>
      <c r="F33" s="19"/>
      <c r="G33" s="19"/>
      <c r="H33" s="19"/>
      <c r="I33" s="2"/>
      <c r="J33" s="29">
        <f t="shared" si="0"/>
        <v>0</v>
      </c>
      <c r="K33" s="27"/>
    </row>
    <row r="34" spans="1:12" ht="24" customHeight="1" thickTop="1" thickBot="1" x14ac:dyDescent="0.35">
      <c r="A34" s="8"/>
      <c r="B34" s="8">
        <f t="shared" ref="B34:H34" si="1">SUM(B3:B33)</f>
        <v>34254</v>
      </c>
      <c r="C34" s="8">
        <f t="shared" si="1"/>
        <v>80336</v>
      </c>
      <c r="D34" s="8">
        <f t="shared" si="1"/>
        <v>151512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>SUM(I3:I33)</f>
        <v>0</v>
      </c>
      <c r="J34" s="29">
        <f t="shared" si="0"/>
        <v>266102</v>
      </c>
      <c r="K34" s="9"/>
    </row>
    <row r="35" spans="1:12" ht="24" customHeight="1" thickTop="1" thickBot="1" x14ac:dyDescent="0.35">
      <c r="A35" s="8"/>
      <c r="B35" s="8">
        <f>B34*1.9</f>
        <v>65082.6</v>
      </c>
      <c r="C35" s="32">
        <f>C34*1.95</f>
        <v>156655.19999999998</v>
      </c>
      <c r="D35" s="33">
        <f>D34*2</f>
        <v>303024</v>
      </c>
      <c r="E35" s="32">
        <f>E34*2.2</f>
        <v>0</v>
      </c>
      <c r="F35" s="32">
        <f>F34*4.2</f>
        <v>0</v>
      </c>
      <c r="G35" s="33">
        <f>G34*2.7</f>
        <v>0</v>
      </c>
      <c r="H35" s="32">
        <f>H34*4</f>
        <v>0</v>
      </c>
      <c r="I35" s="32">
        <f>I34*5.2</f>
        <v>0</v>
      </c>
      <c r="J35" s="29">
        <f t="shared" si="0"/>
        <v>524761.80000000005</v>
      </c>
      <c r="K35" s="9">
        <f>J35/J34</f>
        <v>1.9720325288799034</v>
      </c>
      <c r="L35" s="31"/>
    </row>
    <row r="36" spans="1:12" ht="19.5" thickTop="1" x14ac:dyDescent="0.3">
      <c r="A36" s="30"/>
      <c r="B36" s="2"/>
      <c r="C36" s="2"/>
      <c r="D36" s="2"/>
      <c r="E36" s="2"/>
      <c r="F36" s="2"/>
      <c r="G36" s="2"/>
      <c r="H36" s="2"/>
      <c r="I36" s="2"/>
      <c r="J36" s="28"/>
    </row>
    <row r="37" spans="1:12" ht="18.7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8.75" x14ac:dyDescent="0.3">
      <c r="A38" s="14"/>
      <c r="B38" s="14" t="s">
        <v>8</v>
      </c>
      <c r="C38" s="14"/>
      <c r="D38" s="14" t="s">
        <v>9</v>
      </c>
      <c r="E38" s="14" t="s">
        <v>10</v>
      </c>
      <c r="F38" s="14" t="s">
        <v>11</v>
      </c>
      <c r="G38" s="14" t="s">
        <v>12</v>
      </c>
      <c r="H38" s="14" t="s">
        <v>13</v>
      </c>
      <c r="I38" s="14" t="s">
        <v>15</v>
      </c>
      <c r="J38" s="35" t="s">
        <v>16</v>
      </c>
      <c r="K38" s="34"/>
    </row>
    <row r="39" spans="1:12" ht="18.75" x14ac:dyDescent="0.3">
      <c r="A39" s="14"/>
      <c r="B39" s="14" t="s">
        <v>14</v>
      </c>
      <c r="C39" s="14"/>
      <c r="D39" s="14">
        <f>F34</f>
        <v>0</v>
      </c>
      <c r="E39" s="14">
        <f>D39*2.17/1000</f>
        <v>0</v>
      </c>
      <c r="F39" s="14">
        <f>D39*13.33/1000</f>
        <v>0</v>
      </c>
      <c r="G39" s="14">
        <f>D39*5.83/1000</f>
        <v>0</v>
      </c>
      <c r="H39" s="14">
        <f>G39+F39+E39</f>
        <v>0</v>
      </c>
      <c r="I39" s="14">
        <f>D39/62.5</f>
        <v>0</v>
      </c>
      <c r="J39" s="14">
        <f>IFERROR(F35/I39,0)</f>
        <v>0</v>
      </c>
    </row>
    <row r="40" spans="1:12" ht="18.75" x14ac:dyDescent="0.3">
      <c r="A40" s="14"/>
      <c r="B40" s="14" t="s">
        <v>17</v>
      </c>
      <c r="C40" s="14"/>
      <c r="D40" s="14">
        <f>I34</f>
        <v>0</v>
      </c>
      <c r="E40" s="14">
        <f>D40*3.25/1000</f>
        <v>0</v>
      </c>
      <c r="F40" s="14">
        <f>D40*1.5*4.55/1000</f>
        <v>0</v>
      </c>
      <c r="G40" s="14">
        <f>D40*1.5*12.12/1000</f>
        <v>0</v>
      </c>
      <c r="H40" s="14">
        <f>G40+F40+E40</f>
        <v>0</v>
      </c>
      <c r="I40" s="14">
        <f>D40/41.625</f>
        <v>0</v>
      </c>
      <c r="J40" s="14">
        <f>IFERROR(F36/I40,0)</f>
        <v>0</v>
      </c>
    </row>
    <row r="41" spans="1:12" ht="18.75" x14ac:dyDescent="0.3">
      <c r="A41" s="14"/>
      <c r="B41" s="14" t="s">
        <v>18</v>
      </c>
      <c r="C41" s="14"/>
      <c r="D41" s="14">
        <f>B34</f>
        <v>34254</v>
      </c>
      <c r="E41" s="14">
        <f>D41*1.18/1000</f>
        <v>40.419719999999998</v>
      </c>
      <c r="F41" s="14">
        <f>D41*7.27/1000</f>
        <v>249.02658</v>
      </c>
      <c r="G41" s="14">
        <f>D41*3.18/1000</f>
        <v>108.92772000000001</v>
      </c>
      <c r="H41" s="14">
        <f>G41+F41+E41</f>
        <v>398.37401999999997</v>
      </c>
      <c r="I41" s="14">
        <f>D41/125</f>
        <v>274.03199999999998</v>
      </c>
      <c r="J41" s="14">
        <f>B35/I41</f>
        <v>237.5</v>
      </c>
    </row>
    <row r="42" spans="1:12" ht="18.75" x14ac:dyDescent="0.3">
      <c r="A42" s="14"/>
      <c r="B42" s="14" t="s">
        <v>19</v>
      </c>
      <c r="C42" s="14"/>
      <c r="D42" s="14">
        <f>C34</f>
        <v>80336</v>
      </c>
      <c r="E42" s="14">
        <f>D42*1.63/1000</f>
        <v>130.94767999999999</v>
      </c>
      <c r="F42" s="14">
        <f>D42*10/1000</f>
        <v>803.36</v>
      </c>
      <c r="G42" s="14">
        <f>D42*4.4/1000</f>
        <v>353.47840000000002</v>
      </c>
      <c r="H42" s="14">
        <f t="shared" ref="H42:H44" si="2">G42+F42+E42</f>
        <v>1287.7860800000001</v>
      </c>
      <c r="I42" s="14">
        <f>D42/83.33</f>
        <v>964.0705628225129</v>
      </c>
      <c r="J42" s="14">
        <f>C35/I42</f>
        <v>162.49349999999998</v>
      </c>
    </row>
    <row r="43" spans="1:12" ht="18.75" x14ac:dyDescent="0.3">
      <c r="A43" s="14"/>
      <c r="B43" s="14" t="s">
        <v>20</v>
      </c>
      <c r="C43" s="14"/>
      <c r="D43" s="14">
        <f>D34</f>
        <v>151512</v>
      </c>
      <c r="E43" s="14">
        <f>D43*1.81/1000</f>
        <v>274.23672000000005</v>
      </c>
      <c r="F43" s="14">
        <f>D43*11.11/1000</f>
        <v>1683.2983199999999</v>
      </c>
      <c r="G43" s="14">
        <f>D43*4.86/1000</f>
        <v>736.34832000000006</v>
      </c>
      <c r="H43" s="14">
        <f t="shared" si="2"/>
        <v>2693.8833599999998</v>
      </c>
      <c r="I43" s="14">
        <f t="shared" ref="I43:I44" si="3">D43/62.5</f>
        <v>2424.192</v>
      </c>
      <c r="J43" s="14">
        <f>D35/I43</f>
        <v>125</v>
      </c>
    </row>
    <row r="44" spans="1:12" ht="18.75" x14ac:dyDescent="0.3">
      <c r="A44" s="14"/>
      <c r="B44" s="37" t="s">
        <v>21</v>
      </c>
      <c r="C44" s="14"/>
      <c r="D44" s="14">
        <f>E34</f>
        <v>0</v>
      </c>
      <c r="E44" s="14">
        <f>D44*2.18/1000</f>
        <v>0</v>
      </c>
      <c r="F44" s="14">
        <f>D44*1.5*4.17/1000</f>
        <v>0</v>
      </c>
      <c r="G44" s="14">
        <f>D44*11.11/1000</f>
        <v>0</v>
      </c>
      <c r="H44" s="14">
        <f t="shared" si="2"/>
        <v>0</v>
      </c>
      <c r="I44" s="14">
        <f t="shared" si="3"/>
        <v>0</v>
      </c>
      <c r="J44" s="14">
        <f>IFERROR(F40/I44,0)</f>
        <v>0</v>
      </c>
    </row>
    <row r="45" spans="1:12" ht="18.75" x14ac:dyDescent="0.3">
      <c r="A45" s="14"/>
      <c r="B45" s="36" t="s">
        <v>22</v>
      </c>
      <c r="C45" s="14"/>
      <c r="D45" s="14">
        <f>G34</f>
        <v>0</v>
      </c>
      <c r="E45" s="14">
        <f>D45*1.98/1000</f>
        <v>0</v>
      </c>
      <c r="F45" s="14"/>
      <c r="G45" s="14"/>
      <c r="H45" s="14"/>
      <c r="I45" s="14"/>
      <c r="J45" s="14"/>
    </row>
    <row r="46" spans="1:12" ht="18.75" x14ac:dyDescent="0.3">
      <c r="A46" s="14"/>
      <c r="B46" s="14" t="s">
        <v>7</v>
      </c>
      <c r="C46" s="14"/>
      <c r="D46" s="14">
        <f>H34</f>
        <v>0</v>
      </c>
      <c r="E46" s="14">
        <f>D46*1.5*1.9/1000</f>
        <v>0</v>
      </c>
      <c r="F46" s="14"/>
      <c r="G46" s="14"/>
      <c r="H46" s="14"/>
      <c r="I46" s="14"/>
      <c r="J46" s="14"/>
    </row>
    <row r="47" spans="1:12" ht="18.75" x14ac:dyDescent="0.3">
      <c r="A47" s="14"/>
      <c r="B47" s="14"/>
      <c r="C47" s="14"/>
      <c r="D47" s="14"/>
      <c r="E47" s="14">
        <f>SUM(E39:E46)</f>
        <v>445.60412000000002</v>
      </c>
      <c r="F47" s="14">
        <f>SUM(F39:F46)</f>
        <v>2735.6849000000002</v>
      </c>
      <c r="G47" s="14">
        <f>SUM(G39:G46)</f>
        <v>1198.7544400000002</v>
      </c>
      <c r="H47" s="14"/>
      <c r="I47" s="14">
        <f>SUM(I39:I46)</f>
        <v>3662.2945628225129</v>
      </c>
      <c r="J47" s="14"/>
    </row>
    <row r="48" spans="1:12" ht="18.7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7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75" x14ac:dyDescent="0.3">
      <c r="A51" s="2"/>
      <c r="B51" s="14" t="s">
        <v>29</v>
      </c>
      <c r="C51" s="37" t="s">
        <v>24</v>
      </c>
      <c r="D51" s="35" t="s">
        <v>25</v>
      </c>
      <c r="E51" s="35" t="s">
        <v>28</v>
      </c>
      <c r="F51" s="35" t="s">
        <v>26</v>
      </c>
      <c r="G51" s="14" t="s">
        <v>28</v>
      </c>
      <c r="H51" s="14" t="s">
        <v>27</v>
      </c>
      <c r="I51" s="14" t="s">
        <v>28</v>
      </c>
      <c r="J51" s="2"/>
    </row>
    <row r="52" spans="1:10" ht="18.75" x14ac:dyDescent="0.3">
      <c r="A52" s="2"/>
      <c r="B52" s="14" t="s">
        <v>23</v>
      </c>
      <c r="C52" s="14">
        <f>D41+D42+D43+D44+D45+D46</f>
        <v>266102</v>
      </c>
      <c r="D52" s="14">
        <f>E41+E42+E43+E44+E45+E46</f>
        <v>445.60412000000002</v>
      </c>
      <c r="E52" s="14">
        <f>D52*240</f>
        <v>106944.98880000001</v>
      </c>
      <c r="F52" s="14">
        <f>F41+F42+F43+F44</f>
        <v>2735.6849000000002</v>
      </c>
      <c r="G52" s="14">
        <f>F52*54</f>
        <v>147726.98460000003</v>
      </c>
      <c r="H52" s="14">
        <f>G41+G42+G43+G44+G45+G46</f>
        <v>1198.7544400000002</v>
      </c>
      <c r="I52" s="14">
        <f>H52*3</f>
        <v>3596.2633200000005</v>
      </c>
      <c r="J52" s="2"/>
    </row>
    <row r="53" spans="1:10" ht="18.75" x14ac:dyDescent="0.3">
      <c r="A53" s="2"/>
      <c r="B53" s="14" t="s">
        <v>14</v>
      </c>
      <c r="C53" s="14">
        <f>D39+D40</f>
        <v>0</v>
      </c>
      <c r="D53" s="14">
        <f>E39+E40</f>
        <v>0</v>
      </c>
      <c r="E53" s="14">
        <f>D53*240</f>
        <v>0</v>
      </c>
      <c r="F53" s="14">
        <f>F39+F40</f>
        <v>0</v>
      </c>
      <c r="G53" s="14">
        <f>F53*54</f>
        <v>0</v>
      </c>
      <c r="H53" s="14">
        <f>G39+G40</f>
        <v>0</v>
      </c>
      <c r="I53" s="14">
        <f>H53*3</f>
        <v>0</v>
      </c>
      <c r="J53" s="2"/>
    </row>
    <row r="54" spans="1:10" ht="18.7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"/>
      <c r="B55" s="38"/>
      <c r="C55" s="38"/>
      <c r="D55" s="38"/>
      <c r="E55" s="1"/>
      <c r="F55" s="1"/>
      <c r="G55" s="1"/>
      <c r="H55" s="1"/>
      <c r="I55" s="1"/>
      <c r="J55" s="1"/>
    </row>
    <row r="56" spans="1:10" x14ac:dyDescent="0.25">
      <c r="B56" s="20"/>
      <c r="C56" s="20"/>
      <c r="D56" s="20"/>
    </row>
    <row r="57" spans="1:10" x14ac:dyDescent="0.25">
      <c r="B57" s="20"/>
      <c r="C57" s="20"/>
      <c r="D57" s="20"/>
    </row>
  </sheetData>
  <mergeCells count="2">
    <mergeCell ref="A1:F1"/>
    <mergeCell ref="H1:K1"/>
  </mergeCells>
  <pageMargins left="0.23622047244094491" right="0.15748031496062992" top="0.19685039370078741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pane ySplit="2" topLeftCell="A3" activePane="bottomLeft" state="frozen"/>
      <selection pane="bottomLeft" activeCell="G32" sqref="G32"/>
    </sheetView>
  </sheetViews>
  <sheetFormatPr defaultRowHeight="15" x14ac:dyDescent="0.25"/>
  <cols>
    <col min="1" max="1" width="6.42578125" customWidth="1"/>
    <col min="2" max="3" width="8.85546875" customWidth="1"/>
    <col min="4" max="4" width="9.42578125" bestFit="1" customWidth="1"/>
    <col min="5" max="5" width="9.7109375" customWidth="1"/>
    <col min="6" max="6" width="9.42578125" bestFit="1" customWidth="1"/>
    <col min="7" max="8" width="8.85546875" customWidth="1"/>
    <col min="9" max="9" width="9.28515625" customWidth="1"/>
    <col min="10" max="10" width="10.140625" bestFit="1" customWidth="1"/>
    <col min="11" max="11" width="10" customWidth="1"/>
  </cols>
  <sheetData>
    <row r="1" spans="1:15" ht="24" thickBot="1" x14ac:dyDescent="0.4">
      <c r="A1" s="98" t="s">
        <v>30</v>
      </c>
      <c r="B1" s="98"/>
      <c r="C1" s="98"/>
      <c r="D1" s="98"/>
      <c r="E1" s="98"/>
      <c r="F1" s="98"/>
      <c r="H1" s="99" t="s">
        <v>69</v>
      </c>
      <c r="I1" s="99"/>
      <c r="J1" s="99"/>
      <c r="K1" s="99"/>
    </row>
    <row r="2" spans="1:15" ht="18.75" customHeight="1" thickTop="1" thickBot="1" x14ac:dyDescent="0.3">
      <c r="A2" s="3" t="s">
        <v>71</v>
      </c>
      <c r="B2" s="6" t="s">
        <v>33</v>
      </c>
      <c r="C2" s="6" t="s">
        <v>93</v>
      </c>
      <c r="D2" s="6" t="s">
        <v>91</v>
      </c>
      <c r="E2" s="6" t="s">
        <v>1</v>
      </c>
      <c r="F2" s="7" t="s">
        <v>0</v>
      </c>
      <c r="G2" s="6" t="s">
        <v>2</v>
      </c>
      <c r="H2" s="7" t="s">
        <v>7</v>
      </c>
      <c r="I2" s="5" t="s">
        <v>3</v>
      </c>
      <c r="J2" s="4" t="s">
        <v>4</v>
      </c>
      <c r="K2" s="6" t="s">
        <v>5</v>
      </c>
    </row>
    <row r="3" spans="1:15" ht="24" customHeight="1" thickTop="1" x14ac:dyDescent="0.35">
      <c r="A3" s="10">
        <v>1</v>
      </c>
      <c r="B3" s="12"/>
      <c r="C3" s="2">
        <v>3520</v>
      </c>
      <c r="D3" s="13">
        <v>9300</v>
      </c>
      <c r="E3" s="12"/>
      <c r="F3" s="2"/>
      <c r="G3" s="13"/>
      <c r="H3" s="12"/>
      <c r="I3" s="2"/>
      <c r="J3" s="29">
        <f>SUM(B3:I3)</f>
        <v>12820</v>
      </c>
      <c r="K3" s="23"/>
    </row>
    <row r="4" spans="1:15" ht="24" customHeight="1" x14ac:dyDescent="0.35">
      <c r="A4" s="15">
        <v>2</v>
      </c>
      <c r="B4" s="14"/>
      <c r="C4" s="14"/>
      <c r="D4" s="14">
        <v>9360</v>
      </c>
      <c r="E4" s="14"/>
      <c r="F4" s="14"/>
      <c r="G4" s="14"/>
      <c r="H4" s="14"/>
      <c r="I4" s="14"/>
      <c r="J4" s="29">
        <f t="shared" ref="J4:J35" si="0">SUM(B4:I4)</f>
        <v>9360</v>
      </c>
      <c r="K4" s="24"/>
    </row>
    <row r="5" spans="1:15" ht="24" customHeight="1" x14ac:dyDescent="0.35">
      <c r="A5" s="15">
        <v>3</v>
      </c>
      <c r="B5" s="14"/>
      <c r="C5" s="14"/>
      <c r="D5" s="14">
        <v>660</v>
      </c>
      <c r="E5" s="14"/>
      <c r="F5" s="14"/>
      <c r="G5" s="14"/>
      <c r="H5" s="14"/>
      <c r="I5" s="14"/>
      <c r="J5" s="29">
        <f t="shared" si="0"/>
        <v>660</v>
      </c>
      <c r="K5" s="25" t="s">
        <v>70</v>
      </c>
    </row>
    <row r="6" spans="1:15" ht="24" customHeight="1" x14ac:dyDescent="0.35">
      <c r="A6" s="15">
        <v>4</v>
      </c>
      <c r="B6" s="14"/>
      <c r="C6" s="14"/>
      <c r="D6" s="14">
        <v>10152</v>
      </c>
      <c r="E6" s="14"/>
      <c r="F6" s="14"/>
      <c r="G6" s="14"/>
      <c r="H6" s="14"/>
      <c r="I6" s="14"/>
      <c r="J6" s="29">
        <f t="shared" si="0"/>
        <v>10152</v>
      </c>
      <c r="K6" s="22"/>
    </row>
    <row r="7" spans="1:15" ht="24" customHeight="1" x14ac:dyDescent="0.35">
      <c r="A7" s="15">
        <v>5</v>
      </c>
      <c r="B7" s="14">
        <v>16280</v>
      </c>
      <c r="C7" s="14"/>
      <c r="D7" s="14"/>
      <c r="E7" s="14"/>
      <c r="F7" s="14"/>
      <c r="G7" s="14"/>
      <c r="H7" s="14"/>
      <c r="I7" s="14"/>
      <c r="J7" s="29">
        <f t="shared" si="0"/>
        <v>16280</v>
      </c>
      <c r="K7" s="22"/>
      <c r="N7" s="20"/>
    </row>
    <row r="8" spans="1:15" ht="24" customHeight="1" x14ac:dyDescent="0.35">
      <c r="A8" s="15">
        <v>6</v>
      </c>
      <c r="B8" s="46"/>
      <c r="C8" s="14"/>
      <c r="D8" s="45"/>
      <c r="E8" s="14"/>
      <c r="F8" s="14"/>
      <c r="G8" s="14"/>
      <c r="H8" s="14"/>
      <c r="I8" s="14"/>
      <c r="J8" s="29">
        <f t="shared" si="0"/>
        <v>0</v>
      </c>
      <c r="K8" s="22" t="s">
        <v>6</v>
      </c>
    </row>
    <row r="9" spans="1:15" ht="24" customHeight="1" x14ac:dyDescent="0.35">
      <c r="A9" s="15">
        <v>7</v>
      </c>
      <c r="B9" s="14"/>
      <c r="C9" s="45"/>
      <c r="D9" s="14">
        <v>9480</v>
      </c>
      <c r="E9" s="14"/>
      <c r="F9" s="14"/>
      <c r="G9" s="14"/>
      <c r="H9" s="14"/>
      <c r="I9" s="14"/>
      <c r="J9" s="29">
        <f t="shared" si="0"/>
        <v>9480</v>
      </c>
      <c r="K9" s="22"/>
    </row>
    <row r="10" spans="1:15" ht="24" customHeight="1" x14ac:dyDescent="0.35">
      <c r="A10" s="15">
        <v>8</v>
      </c>
      <c r="B10" s="44"/>
      <c r="C10" s="46">
        <v>4960</v>
      </c>
      <c r="D10" s="14">
        <v>9060</v>
      </c>
      <c r="E10" s="14"/>
      <c r="F10" s="14"/>
      <c r="G10" s="14"/>
      <c r="H10" s="14"/>
      <c r="I10" s="14"/>
      <c r="J10" s="29">
        <f t="shared" si="0"/>
        <v>14020</v>
      </c>
      <c r="K10" s="22"/>
    </row>
    <row r="11" spans="1:15" ht="24" customHeight="1" x14ac:dyDescent="0.35">
      <c r="A11" s="16">
        <v>9</v>
      </c>
      <c r="B11" s="44"/>
      <c r="C11" s="46"/>
      <c r="D11" s="14">
        <v>9564</v>
      </c>
      <c r="E11" s="14"/>
      <c r="F11" s="14"/>
      <c r="G11" s="14"/>
      <c r="H11" s="14"/>
      <c r="I11" s="14"/>
      <c r="J11" s="29">
        <f t="shared" si="0"/>
        <v>9564</v>
      </c>
      <c r="K11" s="24"/>
      <c r="O11" s="21"/>
    </row>
    <row r="12" spans="1:15" ht="24" customHeight="1" x14ac:dyDescent="0.35">
      <c r="A12" s="11">
        <v>10</v>
      </c>
      <c r="B12" s="14"/>
      <c r="C12" s="14"/>
      <c r="D12" s="14"/>
      <c r="E12" s="14"/>
      <c r="F12" s="14"/>
      <c r="G12" s="14"/>
      <c r="H12" s="14"/>
      <c r="I12" s="14"/>
      <c r="J12" s="29">
        <f t="shared" si="0"/>
        <v>0</v>
      </c>
      <c r="K12" s="24" t="s">
        <v>70</v>
      </c>
    </row>
    <row r="13" spans="1:15" ht="24" customHeight="1" x14ac:dyDescent="0.35">
      <c r="A13" s="15">
        <v>11</v>
      </c>
      <c r="B13" s="14"/>
      <c r="C13" s="14">
        <v>3872</v>
      </c>
      <c r="D13" s="14">
        <v>7908</v>
      </c>
      <c r="E13" s="14"/>
      <c r="F13" s="14"/>
      <c r="G13" s="14"/>
      <c r="H13" s="14"/>
      <c r="I13" s="14"/>
      <c r="J13" s="29">
        <f t="shared" si="0"/>
        <v>11780</v>
      </c>
      <c r="K13" s="25"/>
    </row>
    <row r="14" spans="1:15" ht="24" customHeight="1" x14ac:dyDescent="0.35">
      <c r="A14" s="16">
        <v>12</v>
      </c>
      <c r="B14" s="14"/>
      <c r="C14" s="14">
        <v>4720</v>
      </c>
      <c r="D14" s="14">
        <v>8256</v>
      </c>
      <c r="E14" s="14"/>
      <c r="F14" s="14"/>
      <c r="G14" s="14"/>
      <c r="H14" s="14"/>
      <c r="I14" s="14"/>
      <c r="J14" s="29">
        <f t="shared" si="0"/>
        <v>12976</v>
      </c>
      <c r="K14" s="24"/>
    </row>
    <row r="15" spans="1:15" ht="24" customHeight="1" x14ac:dyDescent="0.35">
      <c r="A15" s="11">
        <v>13</v>
      </c>
      <c r="B15" s="14"/>
      <c r="C15" s="14"/>
      <c r="D15" s="14"/>
      <c r="E15" s="14"/>
      <c r="F15" s="14"/>
      <c r="G15" s="14"/>
      <c r="H15" s="14"/>
      <c r="I15" s="14"/>
      <c r="J15" s="29">
        <f t="shared" si="0"/>
        <v>0</v>
      </c>
      <c r="K15" s="24" t="s">
        <v>6</v>
      </c>
    </row>
    <row r="16" spans="1:15" ht="24.75" customHeight="1" x14ac:dyDescent="0.35">
      <c r="A16" s="15">
        <v>14</v>
      </c>
      <c r="B16" s="14"/>
      <c r="C16" s="14">
        <v>12128</v>
      </c>
      <c r="D16" s="14"/>
      <c r="E16" s="14"/>
      <c r="F16" s="14"/>
      <c r="G16" s="14"/>
      <c r="H16" s="14"/>
      <c r="I16" s="14"/>
      <c r="J16" s="29">
        <f t="shared" si="0"/>
        <v>12128</v>
      </c>
      <c r="K16" s="40"/>
    </row>
    <row r="17" spans="1:14" ht="24" customHeight="1" x14ac:dyDescent="0.35">
      <c r="A17" s="15">
        <v>15</v>
      </c>
      <c r="B17" s="14"/>
      <c r="C17" s="14"/>
      <c r="D17" s="14">
        <v>9216</v>
      </c>
      <c r="E17" s="14"/>
      <c r="F17" s="14"/>
      <c r="G17" s="14"/>
      <c r="H17" s="14"/>
      <c r="I17" s="14"/>
      <c r="J17" s="29">
        <f t="shared" si="0"/>
        <v>9216</v>
      </c>
      <c r="K17" s="24"/>
    </row>
    <row r="18" spans="1:14" ht="24" customHeight="1" x14ac:dyDescent="0.3">
      <c r="A18" s="15">
        <v>16</v>
      </c>
      <c r="B18" s="14"/>
      <c r="C18" s="14"/>
      <c r="D18" s="14">
        <v>9240</v>
      </c>
      <c r="E18" s="14"/>
      <c r="F18" s="14"/>
      <c r="G18" s="14"/>
      <c r="H18" s="14"/>
      <c r="I18" s="14"/>
      <c r="J18" s="29">
        <f t="shared" si="0"/>
        <v>9240</v>
      </c>
      <c r="K18" s="39"/>
    </row>
    <row r="19" spans="1:14" ht="24" customHeight="1" x14ac:dyDescent="0.35">
      <c r="A19" s="15">
        <v>17</v>
      </c>
      <c r="B19" s="14"/>
      <c r="C19" s="14"/>
      <c r="D19" s="14">
        <v>8256</v>
      </c>
      <c r="E19" s="14"/>
      <c r="F19" s="14"/>
      <c r="G19" s="14"/>
      <c r="H19" s="14"/>
      <c r="I19" s="14"/>
      <c r="J19" s="29">
        <f t="shared" si="0"/>
        <v>8256</v>
      </c>
      <c r="K19" s="24"/>
    </row>
    <row r="20" spans="1:14" ht="24" customHeight="1" x14ac:dyDescent="0.35">
      <c r="A20" s="16">
        <v>18</v>
      </c>
      <c r="B20" s="14"/>
      <c r="C20" s="14"/>
      <c r="D20" s="14"/>
      <c r="E20" s="14">
        <v>9480</v>
      </c>
      <c r="F20" s="14"/>
      <c r="G20" s="14"/>
      <c r="H20" s="14"/>
      <c r="I20" s="14"/>
      <c r="J20" s="29">
        <f t="shared" si="0"/>
        <v>9480</v>
      </c>
      <c r="K20" s="24"/>
    </row>
    <row r="21" spans="1:14" ht="24" customHeight="1" x14ac:dyDescent="0.35">
      <c r="A21" s="16">
        <v>19</v>
      </c>
      <c r="B21" s="14"/>
      <c r="C21" s="14"/>
      <c r="D21" s="14"/>
      <c r="E21" s="14"/>
      <c r="F21" s="14"/>
      <c r="G21" s="14"/>
      <c r="H21" s="14"/>
      <c r="I21" s="14"/>
      <c r="J21" s="29">
        <f t="shared" si="0"/>
        <v>0</v>
      </c>
      <c r="K21" s="26" t="s">
        <v>73</v>
      </c>
    </row>
    <row r="22" spans="1:14" ht="24" customHeight="1" x14ac:dyDescent="0.35">
      <c r="A22" s="11">
        <v>20</v>
      </c>
      <c r="B22" s="14"/>
      <c r="C22" s="14"/>
      <c r="D22" s="14"/>
      <c r="E22" s="14"/>
      <c r="F22" s="14"/>
      <c r="G22" s="14"/>
      <c r="H22" s="14"/>
      <c r="I22" s="14"/>
      <c r="J22" s="29">
        <f t="shared" si="0"/>
        <v>0</v>
      </c>
      <c r="K22" s="25" t="s">
        <v>6</v>
      </c>
      <c r="N22" s="42"/>
    </row>
    <row r="23" spans="1:14" ht="24" customHeight="1" x14ac:dyDescent="0.35">
      <c r="A23" s="15">
        <v>21</v>
      </c>
      <c r="B23" s="14"/>
      <c r="C23" s="14"/>
      <c r="D23" s="14"/>
      <c r="E23" s="14"/>
      <c r="F23" s="14"/>
      <c r="G23" s="14"/>
      <c r="H23" s="14"/>
      <c r="I23" s="14"/>
      <c r="J23" s="29">
        <f t="shared" si="0"/>
        <v>0</v>
      </c>
      <c r="K23" s="24" t="s">
        <v>74</v>
      </c>
    </row>
    <row r="24" spans="1:14" ht="24" customHeight="1" x14ac:dyDescent="0.35">
      <c r="A24" s="16">
        <v>22</v>
      </c>
      <c r="B24" s="14"/>
      <c r="C24" s="14"/>
      <c r="D24" s="14"/>
      <c r="E24" s="14"/>
      <c r="F24" s="14"/>
      <c r="G24" s="14"/>
      <c r="H24" s="14"/>
      <c r="I24" s="14"/>
      <c r="J24" s="29">
        <f t="shared" si="0"/>
        <v>0</v>
      </c>
      <c r="K24" s="43" t="s">
        <v>74</v>
      </c>
    </row>
    <row r="25" spans="1:14" ht="26.25" customHeight="1" x14ac:dyDescent="0.3">
      <c r="A25" s="18">
        <v>23</v>
      </c>
      <c r="B25" s="14"/>
      <c r="C25" s="14"/>
      <c r="D25" s="14"/>
      <c r="E25" s="14"/>
      <c r="F25" s="14"/>
      <c r="G25" s="14"/>
      <c r="H25" s="14"/>
      <c r="I25" s="14"/>
      <c r="J25" s="29">
        <f t="shared" si="0"/>
        <v>0</v>
      </c>
      <c r="K25" s="49" t="s">
        <v>74</v>
      </c>
    </row>
    <row r="26" spans="1:14" ht="24" customHeight="1" x14ac:dyDescent="0.35">
      <c r="A26" s="18">
        <v>24</v>
      </c>
      <c r="B26" s="14"/>
      <c r="C26" s="14">
        <v>10480</v>
      </c>
      <c r="D26" s="14"/>
      <c r="E26" s="14"/>
      <c r="F26" s="14"/>
      <c r="G26" s="14"/>
      <c r="H26" s="14"/>
      <c r="I26" s="14"/>
      <c r="J26" s="29">
        <f t="shared" si="0"/>
        <v>10480</v>
      </c>
      <c r="K26" s="26"/>
    </row>
    <row r="27" spans="1:14" ht="24" customHeight="1" x14ac:dyDescent="0.35">
      <c r="A27" s="18">
        <v>25</v>
      </c>
      <c r="B27" s="14"/>
      <c r="C27" s="14">
        <v>6272</v>
      </c>
      <c r="D27" s="14"/>
      <c r="E27" s="14"/>
      <c r="F27" s="14"/>
      <c r="G27" s="14"/>
      <c r="H27" s="14"/>
      <c r="I27" s="14"/>
      <c r="J27" s="29">
        <f t="shared" si="0"/>
        <v>6272</v>
      </c>
      <c r="K27" s="26"/>
    </row>
    <row r="28" spans="1:14" ht="24" customHeight="1" x14ac:dyDescent="0.35">
      <c r="A28" s="18">
        <v>26</v>
      </c>
      <c r="B28" s="14"/>
      <c r="C28" s="14"/>
      <c r="D28" s="14">
        <v>6912</v>
      </c>
      <c r="E28" s="14"/>
      <c r="F28" s="14"/>
      <c r="G28" s="14"/>
      <c r="H28" s="14"/>
      <c r="I28" s="14"/>
      <c r="J28" s="29">
        <f t="shared" si="0"/>
        <v>6912</v>
      </c>
      <c r="K28" s="25"/>
    </row>
    <row r="29" spans="1:14" ht="24" customHeight="1" x14ac:dyDescent="0.35">
      <c r="A29" s="18">
        <v>27</v>
      </c>
      <c r="B29" s="14"/>
      <c r="C29" s="14"/>
      <c r="D29" s="14"/>
      <c r="E29" s="14"/>
      <c r="F29" s="14"/>
      <c r="G29" s="14"/>
      <c r="H29" s="14"/>
      <c r="I29" s="14"/>
      <c r="J29" s="29">
        <f t="shared" si="0"/>
        <v>0</v>
      </c>
      <c r="K29" s="24" t="s">
        <v>6</v>
      </c>
    </row>
    <row r="30" spans="1:14" ht="24" customHeight="1" x14ac:dyDescent="0.35">
      <c r="A30" s="11">
        <v>28</v>
      </c>
      <c r="B30" s="14"/>
      <c r="C30" s="14"/>
      <c r="D30" s="14">
        <v>9120</v>
      </c>
      <c r="E30" s="14"/>
      <c r="F30" s="14"/>
      <c r="G30" s="14"/>
      <c r="H30" s="14"/>
      <c r="I30" s="14"/>
      <c r="J30" s="29">
        <f t="shared" si="0"/>
        <v>9120</v>
      </c>
      <c r="K30" s="25"/>
    </row>
    <row r="31" spans="1:14" ht="24" customHeight="1" x14ac:dyDescent="0.35">
      <c r="A31" s="16">
        <v>29</v>
      </c>
      <c r="B31" s="14"/>
      <c r="C31" s="14"/>
      <c r="D31" s="14">
        <v>9264</v>
      </c>
      <c r="E31" s="14"/>
      <c r="F31" s="14"/>
      <c r="G31" s="14"/>
      <c r="H31" s="14"/>
      <c r="I31" s="14"/>
      <c r="J31" s="29">
        <f t="shared" si="0"/>
        <v>9264</v>
      </c>
      <c r="K31" s="24"/>
    </row>
    <row r="32" spans="1:14" ht="24" customHeight="1" x14ac:dyDescent="0.35">
      <c r="A32" s="11">
        <v>30</v>
      </c>
      <c r="B32" s="14"/>
      <c r="C32" s="14">
        <v>11440</v>
      </c>
      <c r="D32" s="14"/>
      <c r="E32" s="14"/>
      <c r="F32" s="14"/>
      <c r="G32" s="14"/>
      <c r="H32" s="14"/>
      <c r="I32" s="14"/>
      <c r="J32" s="29">
        <f t="shared" si="0"/>
        <v>11440</v>
      </c>
      <c r="K32" s="24"/>
    </row>
    <row r="33" spans="1:12" ht="24" customHeight="1" thickBot="1" x14ac:dyDescent="0.4">
      <c r="A33" s="17">
        <v>31</v>
      </c>
      <c r="B33" s="19"/>
      <c r="C33" s="2"/>
      <c r="D33" s="19">
        <v>8124</v>
      </c>
      <c r="E33" s="19"/>
      <c r="F33" s="19"/>
      <c r="G33" s="19"/>
      <c r="H33" s="19"/>
      <c r="I33" s="2"/>
      <c r="J33" s="29">
        <f t="shared" si="0"/>
        <v>8124</v>
      </c>
      <c r="K33" s="27"/>
    </row>
    <row r="34" spans="1:12" ht="24" customHeight="1" thickTop="1" thickBot="1" x14ac:dyDescent="0.35">
      <c r="A34" s="8"/>
      <c r="B34" s="8">
        <f t="shared" ref="B34:H34" si="1">SUM(B3:B33)</f>
        <v>16280</v>
      </c>
      <c r="C34" s="8">
        <f t="shared" si="1"/>
        <v>57392</v>
      </c>
      <c r="D34" s="8">
        <f t="shared" si="1"/>
        <v>133872</v>
      </c>
      <c r="E34" s="8">
        <f t="shared" si="1"/>
        <v>9480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>SUM(I3:I33)</f>
        <v>0</v>
      </c>
      <c r="J34" s="29">
        <f t="shared" si="0"/>
        <v>217024</v>
      </c>
      <c r="K34" s="9"/>
    </row>
    <row r="35" spans="1:12" ht="24" customHeight="1" thickTop="1" thickBot="1" x14ac:dyDescent="0.35">
      <c r="A35" s="8"/>
      <c r="B35" s="8">
        <f>B34*1.9</f>
        <v>30932</v>
      </c>
      <c r="C35" s="32">
        <f>C34*1.95</f>
        <v>111914.4</v>
      </c>
      <c r="D35" s="33">
        <f>D34*2</f>
        <v>267744</v>
      </c>
      <c r="E35" s="32">
        <f>E34*2.2</f>
        <v>20856</v>
      </c>
      <c r="F35" s="32">
        <f>F34*4.2</f>
        <v>0</v>
      </c>
      <c r="G35" s="33">
        <f>G34*2.7</f>
        <v>0</v>
      </c>
      <c r="H35" s="32">
        <f>H34*4</f>
        <v>0</v>
      </c>
      <c r="I35" s="32">
        <f>I34*5.2</f>
        <v>0</v>
      </c>
      <c r="J35" s="29">
        <f t="shared" si="0"/>
        <v>431446.4</v>
      </c>
      <c r="K35" s="9">
        <f>J35/J34</f>
        <v>1.9880123857269243</v>
      </c>
      <c r="L35" s="31"/>
    </row>
    <row r="36" spans="1:12" ht="19.5" thickTop="1" x14ac:dyDescent="0.3">
      <c r="A36" s="30"/>
      <c r="B36" s="2"/>
      <c r="C36" s="2"/>
      <c r="D36" s="2"/>
      <c r="E36" s="2"/>
      <c r="F36" s="2"/>
      <c r="G36" s="2"/>
      <c r="H36" s="2"/>
      <c r="I36" s="2"/>
      <c r="J36" s="28"/>
    </row>
    <row r="37" spans="1:12" ht="18.7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8.75" x14ac:dyDescent="0.3">
      <c r="A38" s="14"/>
      <c r="B38" s="14" t="s">
        <v>8</v>
      </c>
      <c r="C38" s="14"/>
      <c r="D38" s="14" t="s">
        <v>9</v>
      </c>
      <c r="E38" s="14" t="s">
        <v>10</v>
      </c>
      <c r="F38" s="14" t="s">
        <v>11</v>
      </c>
      <c r="G38" s="14" t="s">
        <v>12</v>
      </c>
      <c r="H38" s="14" t="s">
        <v>13</v>
      </c>
      <c r="I38" s="14" t="s">
        <v>15</v>
      </c>
      <c r="J38" s="35" t="s">
        <v>16</v>
      </c>
      <c r="K38" s="34"/>
    </row>
    <row r="39" spans="1:12" ht="18.75" x14ac:dyDescent="0.3">
      <c r="A39" s="14"/>
      <c r="B39" s="14" t="s">
        <v>14</v>
      </c>
      <c r="C39" s="14"/>
      <c r="D39" s="14">
        <f>F34</f>
        <v>0</v>
      </c>
      <c r="E39" s="14">
        <f>D39*2.17/1000</f>
        <v>0</v>
      </c>
      <c r="F39" s="14">
        <f>D39*13.33/1000</f>
        <v>0</v>
      </c>
      <c r="G39" s="14">
        <f>D39*5.83/1000</f>
        <v>0</v>
      </c>
      <c r="H39" s="14">
        <f>G39+F39+E39</f>
        <v>0</v>
      </c>
      <c r="I39" s="14">
        <f>D39/62.5</f>
        <v>0</v>
      </c>
      <c r="J39" s="14">
        <f>IFERROR(F35/I39,0)</f>
        <v>0</v>
      </c>
    </row>
    <row r="40" spans="1:12" ht="18.75" x14ac:dyDescent="0.3">
      <c r="A40" s="14"/>
      <c r="B40" s="14" t="s">
        <v>17</v>
      </c>
      <c r="C40" s="14"/>
      <c r="D40" s="14">
        <f>I34</f>
        <v>0</v>
      </c>
      <c r="E40" s="14">
        <f>D40*3.25/1000</f>
        <v>0</v>
      </c>
      <c r="F40" s="14">
        <f>D40*1.5*4.55/1000</f>
        <v>0</v>
      </c>
      <c r="G40" s="14">
        <f>D40*1.5*12.12/1000</f>
        <v>0</v>
      </c>
      <c r="H40" s="14">
        <f>G40+F40+E40</f>
        <v>0</v>
      </c>
      <c r="I40" s="14">
        <f>D40/41.625</f>
        <v>0</v>
      </c>
      <c r="J40" s="14">
        <f>IFERROR(F36/I40,0)</f>
        <v>0</v>
      </c>
    </row>
    <row r="41" spans="1:12" ht="18.75" x14ac:dyDescent="0.3">
      <c r="A41" s="14"/>
      <c r="B41" s="14" t="s">
        <v>18</v>
      </c>
      <c r="C41" s="14"/>
      <c r="D41" s="14">
        <f>B34</f>
        <v>16280</v>
      </c>
      <c r="E41" s="14">
        <f>D41*1.18/1000</f>
        <v>19.210399999999996</v>
      </c>
      <c r="F41" s="14">
        <f>D41*7.27/1000</f>
        <v>118.3556</v>
      </c>
      <c r="G41" s="14">
        <f>D41*3.18/1000</f>
        <v>51.770400000000002</v>
      </c>
      <c r="H41" s="14">
        <f>G41+F41+E41</f>
        <v>189.3364</v>
      </c>
      <c r="I41" s="14">
        <f>D41/125</f>
        <v>130.24</v>
      </c>
      <c r="J41" s="14">
        <f>B35/I41</f>
        <v>237.49999999999997</v>
      </c>
    </row>
    <row r="42" spans="1:12" ht="18.75" x14ac:dyDescent="0.3">
      <c r="A42" s="14"/>
      <c r="B42" s="14" t="s">
        <v>19</v>
      </c>
      <c r="C42" s="14"/>
      <c r="D42" s="14">
        <f>C34</f>
        <v>57392</v>
      </c>
      <c r="E42" s="14">
        <f>D42*1.63/1000</f>
        <v>93.548959999999994</v>
      </c>
      <c r="F42" s="14">
        <f>D42*10/1000</f>
        <v>573.91999999999996</v>
      </c>
      <c r="G42" s="14">
        <f>D42*4.4/1000</f>
        <v>252.52480000000003</v>
      </c>
      <c r="H42" s="14">
        <f t="shared" ref="H42:H44" si="2">G42+F42+E42</f>
        <v>919.99375999999995</v>
      </c>
      <c r="I42" s="14">
        <f>D42/83.33</f>
        <v>688.73154926197049</v>
      </c>
      <c r="J42" s="14">
        <f>C35/I42</f>
        <v>162.49349999999998</v>
      </c>
    </row>
    <row r="43" spans="1:12" ht="18.75" x14ac:dyDescent="0.3">
      <c r="A43" s="14"/>
      <c r="B43" s="14" t="s">
        <v>20</v>
      </c>
      <c r="C43" s="14"/>
      <c r="D43" s="14">
        <f>D34</f>
        <v>133872</v>
      </c>
      <c r="E43" s="14">
        <f>D43*1.81/1000</f>
        <v>242.30832000000001</v>
      </c>
      <c r="F43" s="14">
        <f>D43*11.11/1000</f>
        <v>1487.31792</v>
      </c>
      <c r="G43" s="14">
        <f>D43*4.86/1000</f>
        <v>650.61792000000003</v>
      </c>
      <c r="H43" s="14">
        <f t="shared" si="2"/>
        <v>2380.2441600000002</v>
      </c>
      <c r="I43" s="14">
        <f t="shared" ref="I43:I44" si="3">D43/62.5</f>
        <v>2141.9520000000002</v>
      </c>
      <c r="J43" s="14">
        <f>D35/I43</f>
        <v>124.99999999999999</v>
      </c>
    </row>
    <row r="44" spans="1:12" ht="18.75" x14ac:dyDescent="0.3">
      <c r="A44" s="14"/>
      <c r="B44" s="37" t="s">
        <v>21</v>
      </c>
      <c r="C44" s="14"/>
      <c r="D44" s="14">
        <f>E34</f>
        <v>9480</v>
      </c>
      <c r="E44" s="14">
        <f>D44*2.18/1000</f>
        <v>20.666400000000003</v>
      </c>
      <c r="F44" s="14">
        <f>D44*1.5*4.17/1000</f>
        <v>59.297400000000003</v>
      </c>
      <c r="G44" s="14">
        <f>D44*11.11/1000</f>
        <v>105.32279999999999</v>
      </c>
      <c r="H44" s="14">
        <f t="shared" si="2"/>
        <v>185.28659999999999</v>
      </c>
      <c r="I44" s="14">
        <f t="shared" si="3"/>
        <v>151.68</v>
      </c>
      <c r="J44" s="14">
        <f>IFERROR(F40/I44,0)</f>
        <v>0</v>
      </c>
    </row>
    <row r="45" spans="1:12" ht="18.75" x14ac:dyDescent="0.3">
      <c r="A45" s="14"/>
      <c r="B45" s="36" t="s">
        <v>22</v>
      </c>
      <c r="C45" s="14"/>
      <c r="D45" s="14">
        <f>G34</f>
        <v>0</v>
      </c>
      <c r="E45" s="14">
        <f>D45*1.98/1000</f>
        <v>0</v>
      </c>
      <c r="F45" s="14"/>
      <c r="G45" s="14"/>
      <c r="H45" s="14"/>
      <c r="I45" s="14"/>
      <c r="J45" s="14"/>
    </row>
    <row r="46" spans="1:12" ht="18.75" x14ac:dyDescent="0.3">
      <c r="A46" s="14"/>
      <c r="B46" s="14" t="s">
        <v>7</v>
      </c>
      <c r="C46" s="14"/>
      <c r="D46" s="14">
        <f>H34</f>
        <v>0</v>
      </c>
      <c r="E46" s="14">
        <f>D46*1.5*1.9/1000</f>
        <v>0</v>
      </c>
      <c r="F46" s="14"/>
      <c r="G46" s="14"/>
      <c r="H46" s="14"/>
      <c r="I46" s="14"/>
      <c r="J46" s="14"/>
    </row>
    <row r="47" spans="1:12" ht="18.75" x14ac:dyDescent="0.3">
      <c r="A47" s="14"/>
      <c r="B47" s="14"/>
      <c r="C47" s="14"/>
      <c r="D47" s="14"/>
      <c r="E47" s="14">
        <f>SUM(E39:E46)</f>
        <v>375.73408000000001</v>
      </c>
      <c r="F47" s="14">
        <f>SUM(F39:F46)</f>
        <v>2238.8909199999998</v>
      </c>
      <c r="G47" s="14">
        <f>SUM(G39:G46)</f>
        <v>1060.2359200000001</v>
      </c>
      <c r="H47" s="14"/>
      <c r="I47" s="14">
        <f>SUM(I39:I46)</f>
        <v>3112.6035492619708</v>
      </c>
      <c r="J47" s="14"/>
    </row>
    <row r="48" spans="1:12" ht="18.7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7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75" x14ac:dyDescent="0.3">
      <c r="A51" s="2"/>
      <c r="B51" s="14" t="s">
        <v>29</v>
      </c>
      <c r="C51" s="37" t="s">
        <v>24</v>
      </c>
      <c r="D51" s="35" t="s">
        <v>25</v>
      </c>
      <c r="E51" s="35" t="s">
        <v>28</v>
      </c>
      <c r="F51" s="35" t="s">
        <v>26</v>
      </c>
      <c r="G51" s="14" t="s">
        <v>28</v>
      </c>
      <c r="H51" s="14" t="s">
        <v>27</v>
      </c>
      <c r="I51" s="14" t="s">
        <v>28</v>
      </c>
      <c r="J51" s="2"/>
    </row>
    <row r="52" spans="1:10" ht="18.75" x14ac:dyDescent="0.3">
      <c r="A52" s="2"/>
      <c r="B52" s="14" t="s">
        <v>23</v>
      </c>
      <c r="C52" s="14">
        <f>D41+D42+D43+D44+D45+D46</f>
        <v>217024</v>
      </c>
      <c r="D52" s="14">
        <f>E41+E42+E43+E44+E45+E46</f>
        <v>375.73408000000001</v>
      </c>
      <c r="E52" s="14">
        <f>D52*240</f>
        <v>90176.179199999999</v>
      </c>
      <c r="F52" s="14">
        <f>F41+F42+F43+F44</f>
        <v>2238.8909199999998</v>
      </c>
      <c r="G52" s="14">
        <f>F52*54</f>
        <v>120900.10967999999</v>
      </c>
      <c r="H52" s="14">
        <f>G41+G42+G43+G44+G45+G46</f>
        <v>1060.2359200000001</v>
      </c>
      <c r="I52" s="14">
        <f>H52*3</f>
        <v>3180.7077600000002</v>
      </c>
      <c r="J52" s="2"/>
    </row>
    <row r="53" spans="1:10" ht="18.75" x14ac:dyDescent="0.3">
      <c r="A53" s="2"/>
      <c r="B53" s="14" t="s">
        <v>14</v>
      </c>
      <c r="C53" s="14">
        <f>D39+D40</f>
        <v>0</v>
      </c>
      <c r="D53" s="14">
        <f>E39+E40</f>
        <v>0</v>
      </c>
      <c r="E53" s="14">
        <f>D53*240</f>
        <v>0</v>
      </c>
      <c r="F53" s="14">
        <f>F39+F40</f>
        <v>0</v>
      </c>
      <c r="G53" s="14">
        <f>F53*54</f>
        <v>0</v>
      </c>
      <c r="H53" s="14">
        <f>G39+G40</f>
        <v>0</v>
      </c>
      <c r="I53" s="14">
        <f>H53*3</f>
        <v>0</v>
      </c>
      <c r="J53" s="2"/>
    </row>
    <row r="54" spans="1:10" ht="18.7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"/>
      <c r="B55" s="38"/>
      <c r="C55" s="38"/>
      <c r="D55" s="38"/>
      <c r="E55" s="1"/>
      <c r="F55" s="1"/>
      <c r="G55" s="1"/>
      <c r="H55" s="1"/>
      <c r="I55" s="1"/>
      <c r="J55" s="1"/>
    </row>
    <row r="56" spans="1:10" x14ac:dyDescent="0.25">
      <c r="B56" s="20"/>
      <c r="C56" s="20"/>
      <c r="D56" s="20"/>
    </row>
    <row r="57" spans="1:10" x14ac:dyDescent="0.25">
      <c r="B57" s="20"/>
      <c r="C57" s="20"/>
      <c r="D57" s="20"/>
    </row>
  </sheetData>
  <mergeCells count="2">
    <mergeCell ref="A1:F1"/>
    <mergeCell ref="H1:K1"/>
  </mergeCells>
  <pageMargins left="0.23622047244094491" right="0.15748031496062992" top="0.19685039370078741" bottom="0.1968503937007874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pane ySplit="2" topLeftCell="A24" activePane="bottomLeft" state="frozen"/>
      <selection pane="bottomLeft" activeCell="H31" sqref="H31"/>
    </sheetView>
  </sheetViews>
  <sheetFormatPr defaultRowHeight="15" x14ac:dyDescent="0.25"/>
  <cols>
    <col min="1" max="1" width="6.42578125" customWidth="1"/>
    <col min="2" max="3" width="8.85546875" customWidth="1"/>
    <col min="4" max="4" width="9.42578125" bestFit="1" customWidth="1"/>
    <col min="5" max="5" width="9.7109375" customWidth="1"/>
    <col min="6" max="6" width="9.42578125" bestFit="1" customWidth="1"/>
    <col min="7" max="8" width="8.85546875" customWidth="1"/>
    <col min="9" max="9" width="9.28515625" customWidth="1"/>
    <col min="10" max="10" width="10.140625" bestFit="1" customWidth="1"/>
    <col min="11" max="11" width="10" customWidth="1"/>
  </cols>
  <sheetData>
    <row r="1" spans="1:15" ht="24" thickBot="1" x14ac:dyDescent="0.4">
      <c r="A1" s="98" t="s">
        <v>30</v>
      </c>
      <c r="B1" s="98"/>
      <c r="C1" s="98"/>
      <c r="D1" s="98"/>
      <c r="E1" s="98"/>
      <c r="F1" s="98"/>
      <c r="H1" s="99" t="s">
        <v>72</v>
      </c>
      <c r="I1" s="99"/>
      <c r="J1" s="99"/>
      <c r="K1" s="99"/>
    </row>
    <row r="2" spans="1:15" ht="18.75" customHeight="1" thickTop="1" thickBot="1" x14ac:dyDescent="0.3">
      <c r="A2" s="3" t="s">
        <v>71</v>
      </c>
      <c r="B2" s="6" t="s">
        <v>33</v>
      </c>
      <c r="C2" s="6" t="s">
        <v>93</v>
      </c>
      <c r="D2" s="6" t="s">
        <v>91</v>
      </c>
      <c r="E2" s="6" t="s">
        <v>1</v>
      </c>
      <c r="F2" s="7" t="s">
        <v>0</v>
      </c>
      <c r="G2" s="6" t="s">
        <v>2</v>
      </c>
      <c r="H2" s="7" t="s">
        <v>7</v>
      </c>
      <c r="I2" s="5" t="s">
        <v>3</v>
      </c>
      <c r="J2" s="4" t="s">
        <v>4</v>
      </c>
      <c r="K2" s="6" t="s">
        <v>5</v>
      </c>
    </row>
    <row r="3" spans="1:15" ht="24" customHeight="1" thickTop="1" x14ac:dyDescent="0.35">
      <c r="A3" s="10">
        <v>1</v>
      </c>
      <c r="B3" s="12"/>
      <c r="C3" s="2"/>
      <c r="D3" s="13">
        <v>9420</v>
      </c>
      <c r="E3" s="12"/>
      <c r="F3" s="2">
        <v>0</v>
      </c>
      <c r="G3" s="13"/>
      <c r="H3" s="12"/>
      <c r="I3" s="2"/>
      <c r="J3" s="29">
        <f>SUM(B3:I3)</f>
        <v>9420</v>
      </c>
      <c r="K3" s="23"/>
    </row>
    <row r="4" spans="1:15" ht="24" customHeight="1" x14ac:dyDescent="0.35">
      <c r="A4" s="15">
        <v>2</v>
      </c>
      <c r="B4" s="14">
        <v>12870</v>
      </c>
      <c r="C4" s="14">
        <v>3040</v>
      </c>
      <c r="D4" s="14"/>
      <c r="E4" s="14"/>
      <c r="F4" s="14"/>
      <c r="G4" s="14"/>
      <c r="H4" s="14"/>
      <c r="I4" s="14"/>
      <c r="J4" s="29">
        <f t="shared" ref="J4:J35" si="0">SUM(B4:I4)</f>
        <v>15910</v>
      </c>
      <c r="K4" s="24"/>
    </row>
    <row r="5" spans="1:15" ht="24" customHeight="1" x14ac:dyDescent="0.35">
      <c r="A5" s="15">
        <v>3</v>
      </c>
      <c r="B5" s="14"/>
      <c r="C5" s="14"/>
      <c r="D5" s="14"/>
      <c r="E5" s="14"/>
      <c r="F5" s="14"/>
      <c r="G5" s="14"/>
      <c r="H5" s="14"/>
      <c r="I5" s="14"/>
      <c r="J5" s="29">
        <f t="shared" si="0"/>
        <v>0</v>
      </c>
      <c r="K5" s="25" t="s">
        <v>6</v>
      </c>
    </row>
    <row r="6" spans="1:15" ht="24" customHeight="1" x14ac:dyDescent="0.35">
      <c r="A6" s="15">
        <v>4</v>
      </c>
      <c r="B6" s="14"/>
      <c r="C6" s="14"/>
      <c r="D6" s="14">
        <v>9228</v>
      </c>
      <c r="E6" s="14"/>
      <c r="F6" s="14"/>
      <c r="G6" s="14"/>
      <c r="H6" s="14"/>
      <c r="I6" s="14"/>
      <c r="J6" s="29">
        <f t="shared" si="0"/>
        <v>9228</v>
      </c>
      <c r="K6" s="22"/>
    </row>
    <row r="7" spans="1:15" ht="24" customHeight="1" x14ac:dyDescent="0.35">
      <c r="A7" s="15">
        <v>5</v>
      </c>
      <c r="B7" s="44"/>
      <c r="C7" s="14"/>
      <c r="D7" s="14">
        <v>9204</v>
      </c>
      <c r="E7" s="14"/>
      <c r="F7" s="14"/>
      <c r="G7" s="14"/>
      <c r="H7" s="14"/>
      <c r="I7" s="14"/>
      <c r="J7" s="29">
        <f t="shared" si="0"/>
        <v>9204</v>
      </c>
      <c r="K7" s="22"/>
      <c r="N7" s="20"/>
    </row>
    <row r="8" spans="1:15" ht="24" customHeight="1" x14ac:dyDescent="0.35">
      <c r="A8" s="15">
        <v>6</v>
      </c>
      <c r="B8" s="46"/>
      <c r="C8" s="14"/>
      <c r="D8" s="45">
        <v>9540</v>
      </c>
      <c r="E8" s="14"/>
      <c r="F8" s="14"/>
      <c r="G8" s="14"/>
      <c r="H8" s="14"/>
      <c r="I8" s="14"/>
      <c r="J8" s="29">
        <f t="shared" si="0"/>
        <v>9540</v>
      </c>
      <c r="K8" s="22"/>
    </row>
    <row r="9" spans="1:15" ht="24" customHeight="1" x14ac:dyDescent="0.35">
      <c r="A9" s="15">
        <v>7</v>
      </c>
      <c r="B9" s="14"/>
      <c r="C9" s="45">
        <v>6240</v>
      </c>
      <c r="D9" s="14"/>
      <c r="E9" s="14"/>
      <c r="F9" s="14"/>
      <c r="G9" s="14"/>
      <c r="H9" s="14"/>
      <c r="I9" s="14"/>
      <c r="J9" s="29">
        <f t="shared" si="0"/>
        <v>6240</v>
      </c>
      <c r="K9" s="22"/>
    </row>
    <row r="10" spans="1:15" ht="24" customHeight="1" x14ac:dyDescent="0.35">
      <c r="A10" s="15">
        <v>8</v>
      </c>
      <c r="B10" s="44"/>
      <c r="C10" s="46"/>
      <c r="D10" s="14">
        <v>4800</v>
      </c>
      <c r="E10" s="14"/>
      <c r="F10" s="14"/>
      <c r="G10" s="14"/>
      <c r="H10" s="14"/>
      <c r="I10" s="14"/>
      <c r="J10" s="29">
        <f t="shared" si="0"/>
        <v>4800</v>
      </c>
      <c r="K10" s="22"/>
    </row>
    <row r="11" spans="1:15" ht="24" customHeight="1" x14ac:dyDescent="0.35">
      <c r="A11" s="16">
        <v>9</v>
      </c>
      <c r="B11" s="44"/>
      <c r="C11" s="46"/>
      <c r="D11" s="14">
        <v>8640</v>
      </c>
      <c r="E11" s="14"/>
      <c r="F11" s="14"/>
      <c r="G11" s="14"/>
      <c r="H11" s="14"/>
      <c r="I11" s="14"/>
      <c r="J11" s="29">
        <f t="shared" si="0"/>
        <v>8640</v>
      </c>
      <c r="K11" s="24"/>
      <c r="O11" s="21"/>
    </row>
    <row r="12" spans="1:15" ht="24" customHeight="1" x14ac:dyDescent="0.35">
      <c r="A12" s="11">
        <v>10</v>
      </c>
      <c r="B12" s="14"/>
      <c r="C12" s="14"/>
      <c r="D12" s="14"/>
      <c r="E12" s="14"/>
      <c r="F12" s="14"/>
      <c r="G12" s="14"/>
      <c r="H12" s="14"/>
      <c r="I12" s="14"/>
      <c r="J12" s="29">
        <f t="shared" si="0"/>
        <v>0</v>
      </c>
      <c r="K12" s="24" t="s">
        <v>6</v>
      </c>
    </row>
    <row r="13" spans="1:15" ht="24" customHeight="1" x14ac:dyDescent="0.35">
      <c r="A13" s="15">
        <v>11</v>
      </c>
      <c r="B13" s="14">
        <v>0</v>
      </c>
      <c r="C13" s="14"/>
      <c r="D13" s="14">
        <v>9300</v>
      </c>
      <c r="E13" s="14"/>
      <c r="F13" s="14"/>
      <c r="G13" s="14"/>
      <c r="H13" s="14"/>
      <c r="I13" s="14"/>
      <c r="J13" s="29">
        <f t="shared" si="0"/>
        <v>9300</v>
      </c>
      <c r="K13" s="25"/>
    </row>
    <row r="14" spans="1:15" ht="24" customHeight="1" x14ac:dyDescent="0.35">
      <c r="A14" s="16">
        <v>12</v>
      </c>
      <c r="B14" s="14">
        <v>0</v>
      </c>
      <c r="C14" s="14">
        <v>2720</v>
      </c>
      <c r="D14" s="14">
        <v>7200</v>
      </c>
      <c r="E14" s="14"/>
      <c r="F14" s="14"/>
      <c r="G14" s="14"/>
      <c r="H14" s="14"/>
      <c r="I14" s="14"/>
      <c r="J14" s="29">
        <f t="shared" si="0"/>
        <v>9920</v>
      </c>
      <c r="K14" s="24"/>
    </row>
    <row r="15" spans="1:15" ht="24" customHeight="1" x14ac:dyDescent="0.35">
      <c r="A15" s="11">
        <v>13</v>
      </c>
      <c r="B15" s="14"/>
      <c r="C15" s="14">
        <v>8400</v>
      </c>
      <c r="D15" s="14">
        <v>4800</v>
      </c>
      <c r="E15" s="14"/>
      <c r="F15" s="14"/>
      <c r="G15" s="14"/>
      <c r="H15" s="14"/>
      <c r="I15" s="14"/>
      <c r="J15" s="29">
        <f t="shared" si="0"/>
        <v>13200</v>
      </c>
      <c r="K15" s="24"/>
    </row>
    <row r="16" spans="1:15" ht="24.75" customHeight="1" x14ac:dyDescent="0.35">
      <c r="A16" s="15">
        <v>14</v>
      </c>
      <c r="B16" s="14"/>
      <c r="C16" s="14">
        <v>4960</v>
      </c>
      <c r="D16" s="14">
        <v>9048</v>
      </c>
      <c r="E16" s="14"/>
      <c r="F16" s="14"/>
      <c r="G16" s="14"/>
      <c r="H16" s="14"/>
      <c r="I16" s="14"/>
      <c r="J16" s="29">
        <f t="shared" si="0"/>
        <v>14008</v>
      </c>
      <c r="K16" s="40"/>
    </row>
    <row r="17" spans="1:14" ht="24" customHeight="1" x14ac:dyDescent="0.35">
      <c r="A17" s="15">
        <v>15</v>
      </c>
      <c r="B17" s="14">
        <v>0</v>
      </c>
      <c r="C17" s="14">
        <v>5040</v>
      </c>
      <c r="D17" s="14">
        <v>8460</v>
      </c>
      <c r="E17" s="14"/>
      <c r="F17" s="14"/>
      <c r="G17" s="14"/>
      <c r="H17" s="14"/>
      <c r="I17" s="14"/>
      <c r="J17" s="29">
        <f t="shared" si="0"/>
        <v>13500</v>
      </c>
      <c r="K17" s="24"/>
    </row>
    <row r="18" spans="1:14" ht="24" customHeight="1" x14ac:dyDescent="0.3">
      <c r="A18" s="15">
        <v>16</v>
      </c>
      <c r="B18" s="14">
        <v>14630</v>
      </c>
      <c r="C18" s="14"/>
      <c r="D18" s="14"/>
      <c r="E18" s="14"/>
      <c r="F18" s="14"/>
      <c r="G18" s="14"/>
      <c r="H18" s="14"/>
      <c r="I18" s="14"/>
      <c r="J18" s="29">
        <f t="shared" si="0"/>
        <v>14630</v>
      </c>
      <c r="K18" s="39"/>
    </row>
    <row r="19" spans="1:14" ht="24" customHeight="1" x14ac:dyDescent="0.35">
      <c r="A19" s="15">
        <v>17</v>
      </c>
      <c r="B19" s="14"/>
      <c r="C19" s="14"/>
      <c r="D19" s="14"/>
      <c r="E19" s="14"/>
      <c r="F19" s="14"/>
      <c r="G19" s="14"/>
      <c r="H19" s="14"/>
      <c r="I19" s="14"/>
      <c r="J19" s="29">
        <f t="shared" si="0"/>
        <v>0</v>
      </c>
      <c r="K19" s="24" t="s">
        <v>6</v>
      </c>
    </row>
    <row r="20" spans="1:14" ht="24" customHeight="1" x14ac:dyDescent="0.35">
      <c r="A20" s="16">
        <v>18</v>
      </c>
      <c r="B20" s="14"/>
      <c r="C20" s="14"/>
      <c r="D20" s="14">
        <v>8364</v>
      </c>
      <c r="E20" s="14"/>
      <c r="F20" s="14"/>
      <c r="G20" s="14"/>
      <c r="H20" s="14"/>
      <c r="I20" s="14"/>
      <c r="J20" s="29">
        <f t="shared" si="0"/>
        <v>8364</v>
      </c>
      <c r="K20" s="24"/>
    </row>
    <row r="21" spans="1:14" ht="24" customHeight="1" x14ac:dyDescent="0.35">
      <c r="A21" s="16">
        <v>19</v>
      </c>
      <c r="B21" s="14"/>
      <c r="C21" s="14"/>
      <c r="D21" s="14">
        <v>9276</v>
      </c>
      <c r="E21" s="14"/>
      <c r="F21" s="14"/>
      <c r="G21" s="14"/>
      <c r="H21" s="14"/>
      <c r="I21" s="14"/>
      <c r="J21" s="29">
        <f t="shared" si="0"/>
        <v>9276</v>
      </c>
      <c r="K21" s="26"/>
    </row>
    <row r="22" spans="1:14" ht="24" customHeight="1" x14ac:dyDescent="0.35">
      <c r="A22" s="11">
        <v>20</v>
      </c>
      <c r="B22" s="14"/>
      <c r="C22" s="14"/>
      <c r="D22" s="14">
        <v>9300</v>
      </c>
      <c r="E22" s="14"/>
      <c r="F22" s="14"/>
      <c r="G22" s="14"/>
      <c r="H22" s="14"/>
      <c r="I22" s="14"/>
      <c r="J22" s="29">
        <f t="shared" si="0"/>
        <v>9300</v>
      </c>
      <c r="K22" s="25"/>
      <c r="N22" s="42"/>
    </row>
    <row r="23" spans="1:14" ht="24" customHeight="1" x14ac:dyDescent="0.35">
      <c r="A23" s="15">
        <v>21</v>
      </c>
      <c r="B23" s="14"/>
      <c r="C23" s="14"/>
      <c r="D23" s="14">
        <v>9336</v>
      </c>
      <c r="E23" s="14"/>
      <c r="F23" s="14"/>
      <c r="G23" s="14"/>
      <c r="H23" s="14"/>
      <c r="I23" s="14"/>
      <c r="J23" s="29">
        <f t="shared" si="0"/>
        <v>9336</v>
      </c>
      <c r="K23" s="24"/>
    </row>
    <row r="24" spans="1:14" ht="24" customHeight="1" x14ac:dyDescent="0.35">
      <c r="A24" s="16">
        <v>22</v>
      </c>
      <c r="B24" s="14"/>
      <c r="C24" s="14">
        <v>9360</v>
      </c>
      <c r="D24" s="14"/>
      <c r="E24" s="14"/>
      <c r="F24" s="14"/>
      <c r="G24" s="14"/>
      <c r="H24" s="14"/>
      <c r="I24" s="14"/>
      <c r="J24" s="29">
        <f t="shared" si="0"/>
        <v>9360</v>
      </c>
      <c r="K24" s="43"/>
    </row>
    <row r="25" spans="1:14" ht="26.25" customHeight="1" x14ac:dyDescent="0.3">
      <c r="A25" s="18">
        <v>23</v>
      </c>
      <c r="B25" s="14"/>
      <c r="C25" s="14"/>
      <c r="D25" s="14"/>
      <c r="E25" s="14"/>
      <c r="F25" s="14">
        <v>2844</v>
      </c>
      <c r="G25" s="14"/>
      <c r="H25" s="14"/>
      <c r="I25" s="14"/>
      <c r="J25" s="29">
        <f t="shared" si="0"/>
        <v>2844</v>
      </c>
      <c r="K25" s="41"/>
    </row>
    <row r="26" spans="1:14" ht="24" customHeight="1" x14ac:dyDescent="0.35">
      <c r="A26" s="18">
        <v>24</v>
      </c>
      <c r="B26" s="14"/>
      <c r="C26" s="14"/>
      <c r="D26" s="14"/>
      <c r="E26" s="14"/>
      <c r="F26" s="14"/>
      <c r="G26" s="14"/>
      <c r="H26" s="14"/>
      <c r="I26" s="14"/>
      <c r="J26" s="29">
        <f t="shared" si="0"/>
        <v>0</v>
      </c>
      <c r="K26" s="26" t="s">
        <v>6</v>
      </c>
    </row>
    <row r="27" spans="1:14" ht="24" customHeight="1" x14ac:dyDescent="0.35">
      <c r="A27" s="18">
        <v>25</v>
      </c>
      <c r="B27" s="14"/>
      <c r="C27" s="14">
        <v>3040</v>
      </c>
      <c r="D27" s="14">
        <v>9456</v>
      </c>
      <c r="E27" s="14"/>
      <c r="F27" s="14"/>
      <c r="G27" s="14"/>
      <c r="H27" s="14"/>
      <c r="I27" s="14"/>
      <c r="J27" s="29">
        <f t="shared" si="0"/>
        <v>12496</v>
      </c>
      <c r="K27" s="26"/>
    </row>
    <row r="28" spans="1:14" ht="24" customHeight="1" x14ac:dyDescent="0.35">
      <c r="A28" s="18">
        <v>26</v>
      </c>
      <c r="B28" s="14"/>
      <c r="C28" s="14">
        <v>2304</v>
      </c>
      <c r="D28" s="14">
        <v>8184</v>
      </c>
      <c r="E28" s="14"/>
      <c r="F28" s="14"/>
      <c r="G28" s="14"/>
      <c r="H28" s="14"/>
      <c r="I28" s="14"/>
      <c r="J28" s="29">
        <f t="shared" si="0"/>
        <v>10488</v>
      </c>
      <c r="K28" s="25"/>
    </row>
    <row r="29" spans="1:14" ht="24" customHeight="1" x14ac:dyDescent="0.35">
      <c r="A29" s="18">
        <v>27</v>
      </c>
      <c r="B29" s="14"/>
      <c r="C29" s="14"/>
      <c r="D29" s="14">
        <v>9336</v>
      </c>
      <c r="E29" s="14"/>
      <c r="F29" s="14"/>
      <c r="G29" s="14"/>
      <c r="H29" s="14"/>
      <c r="I29" s="14"/>
      <c r="J29" s="29">
        <f t="shared" si="0"/>
        <v>9336</v>
      </c>
      <c r="K29" s="24"/>
    </row>
    <row r="30" spans="1:14" ht="24" customHeight="1" x14ac:dyDescent="0.35">
      <c r="A30" s="11">
        <v>28</v>
      </c>
      <c r="B30" s="14"/>
      <c r="C30" s="14">
        <v>3360</v>
      </c>
      <c r="D30" s="14">
        <v>10344</v>
      </c>
      <c r="E30" s="14"/>
      <c r="F30" s="14"/>
      <c r="G30" s="14"/>
      <c r="H30" s="14"/>
      <c r="I30" s="14"/>
      <c r="J30" s="29">
        <f t="shared" si="0"/>
        <v>13704</v>
      </c>
      <c r="K30" s="25"/>
    </row>
    <row r="31" spans="1:14" ht="24" customHeight="1" x14ac:dyDescent="0.35">
      <c r="A31" s="16">
        <v>29</v>
      </c>
      <c r="B31" s="14"/>
      <c r="C31" s="14">
        <v>3072</v>
      </c>
      <c r="D31" s="14">
        <v>8148</v>
      </c>
      <c r="E31" s="14"/>
      <c r="F31" s="14"/>
      <c r="G31" s="14"/>
      <c r="H31" s="14"/>
      <c r="I31" s="14"/>
      <c r="J31" s="29">
        <f t="shared" si="0"/>
        <v>11220</v>
      </c>
      <c r="K31" s="24"/>
    </row>
    <row r="32" spans="1:14" ht="24" customHeight="1" x14ac:dyDescent="0.35">
      <c r="A32" s="11">
        <v>30</v>
      </c>
      <c r="B32" s="14"/>
      <c r="C32" s="14"/>
      <c r="D32" s="14"/>
      <c r="E32" s="14"/>
      <c r="F32" s="14">
        <v>5820</v>
      </c>
      <c r="G32" s="14"/>
      <c r="H32" s="14"/>
      <c r="I32" s="14"/>
      <c r="J32" s="29">
        <f t="shared" si="0"/>
        <v>5820</v>
      </c>
      <c r="K32" s="24"/>
    </row>
    <row r="33" spans="1:12" ht="24" customHeight="1" thickBot="1" x14ac:dyDescent="0.4">
      <c r="A33" s="17">
        <v>31</v>
      </c>
      <c r="B33" s="19"/>
      <c r="C33" s="2"/>
      <c r="D33" s="19"/>
      <c r="E33" s="19"/>
      <c r="F33" s="19"/>
      <c r="G33" s="19"/>
      <c r="H33" s="19"/>
      <c r="I33" s="2"/>
      <c r="J33" s="29">
        <f t="shared" si="0"/>
        <v>0</v>
      </c>
      <c r="K33" s="27"/>
    </row>
    <row r="34" spans="1:12" ht="24" customHeight="1" thickTop="1" thickBot="1" x14ac:dyDescent="0.35">
      <c r="A34" s="8"/>
      <c r="B34" s="8">
        <f t="shared" ref="B34:H34" si="1">SUM(B3:B33)</f>
        <v>27500</v>
      </c>
      <c r="C34" s="8">
        <f t="shared" si="1"/>
        <v>51536</v>
      </c>
      <c r="D34" s="8">
        <f t="shared" si="1"/>
        <v>171384</v>
      </c>
      <c r="E34" s="8">
        <f t="shared" si="1"/>
        <v>0</v>
      </c>
      <c r="F34" s="8">
        <f t="shared" si="1"/>
        <v>8664</v>
      </c>
      <c r="G34" s="8">
        <f t="shared" si="1"/>
        <v>0</v>
      </c>
      <c r="H34" s="8">
        <f t="shared" si="1"/>
        <v>0</v>
      </c>
      <c r="I34" s="8">
        <f>SUM(I3:I33)</f>
        <v>0</v>
      </c>
      <c r="J34" s="29">
        <f t="shared" si="0"/>
        <v>259084</v>
      </c>
      <c r="K34" s="9"/>
    </row>
    <row r="35" spans="1:12" ht="24" customHeight="1" thickTop="1" thickBot="1" x14ac:dyDescent="0.35">
      <c r="A35" s="8"/>
      <c r="B35" s="8">
        <f>B34*1.9</f>
        <v>52250</v>
      </c>
      <c r="C35" s="32">
        <f>C34*1.95</f>
        <v>100495.2</v>
      </c>
      <c r="D35" s="33">
        <f>D34*2</f>
        <v>342768</v>
      </c>
      <c r="E35" s="32">
        <f>E34*2.2</f>
        <v>0</v>
      </c>
      <c r="F35" s="32">
        <f>F34*4.75</f>
        <v>41154</v>
      </c>
      <c r="G35" s="33">
        <f>G34*2.7</f>
        <v>0</v>
      </c>
      <c r="H35" s="32">
        <f>H34*4</f>
        <v>0</v>
      </c>
      <c r="I35" s="32">
        <f>I34*5.2</f>
        <v>0</v>
      </c>
      <c r="J35" s="29">
        <f t="shared" si="0"/>
        <v>536667.19999999995</v>
      </c>
      <c r="K35" s="9">
        <f>J35/J34</f>
        <v>2.0714023251146343</v>
      </c>
      <c r="L35" s="31"/>
    </row>
    <row r="36" spans="1:12" ht="19.5" thickTop="1" x14ac:dyDescent="0.3">
      <c r="A36" s="30"/>
      <c r="B36" s="2"/>
      <c r="C36" s="2"/>
      <c r="D36" s="2"/>
      <c r="E36" s="2"/>
      <c r="F36" s="2"/>
      <c r="G36" s="2"/>
      <c r="H36" s="2"/>
      <c r="I36" s="2"/>
      <c r="J36" s="28"/>
    </row>
    <row r="37" spans="1:12" ht="18.7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8.75" x14ac:dyDescent="0.3">
      <c r="A38" s="14"/>
      <c r="B38" s="14" t="s">
        <v>8</v>
      </c>
      <c r="C38" s="14"/>
      <c r="D38" s="14" t="s">
        <v>9</v>
      </c>
      <c r="E38" s="14" t="s">
        <v>10</v>
      </c>
      <c r="F38" s="14" t="s">
        <v>11</v>
      </c>
      <c r="G38" s="14" t="s">
        <v>12</v>
      </c>
      <c r="H38" s="14" t="s">
        <v>13</v>
      </c>
      <c r="I38" s="14" t="s">
        <v>15</v>
      </c>
      <c r="J38" s="35" t="s">
        <v>16</v>
      </c>
      <c r="K38" s="34"/>
    </row>
    <row r="39" spans="1:12" ht="18.75" x14ac:dyDescent="0.3">
      <c r="A39" s="14"/>
      <c r="B39" s="14" t="s">
        <v>14</v>
      </c>
      <c r="C39" s="14"/>
      <c r="D39" s="14">
        <f>F34</f>
        <v>8664</v>
      </c>
      <c r="E39" s="14">
        <f>D39*2.17/1000</f>
        <v>18.800879999999999</v>
      </c>
      <c r="F39" s="14">
        <f>D39*13.33/1000</f>
        <v>115.49112</v>
      </c>
      <c r="G39" s="14">
        <f>D39*5.83/1000</f>
        <v>50.511120000000005</v>
      </c>
      <c r="H39" s="14">
        <f>G39+F39+E39</f>
        <v>184.80312000000001</v>
      </c>
      <c r="I39" s="14">
        <f>D39/62.5</f>
        <v>138.624</v>
      </c>
      <c r="J39" s="14">
        <f>IFERROR(F35/I39,0)</f>
        <v>296.875</v>
      </c>
    </row>
    <row r="40" spans="1:12" ht="18.75" x14ac:dyDescent="0.3">
      <c r="A40" s="14"/>
      <c r="B40" s="14" t="s">
        <v>17</v>
      </c>
      <c r="C40" s="14"/>
      <c r="D40" s="14">
        <f>I34</f>
        <v>0</v>
      </c>
      <c r="E40" s="14">
        <f>D40*3.25/1000</f>
        <v>0</v>
      </c>
      <c r="F40" s="14">
        <f>D40*1.5*4.55/1000</f>
        <v>0</v>
      </c>
      <c r="G40" s="14">
        <f>D40*1.5*12.12/1000</f>
        <v>0</v>
      </c>
      <c r="H40" s="14">
        <f>G40+F40+E40</f>
        <v>0</v>
      </c>
      <c r="I40" s="14">
        <f>D40/41.625</f>
        <v>0</v>
      </c>
      <c r="J40" s="14">
        <f>IFERROR(F36/I40,0)</f>
        <v>0</v>
      </c>
    </row>
    <row r="41" spans="1:12" ht="18.75" x14ac:dyDescent="0.3">
      <c r="A41" s="14"/>
      <c r="B41" s="14" t="s">
        <v>18</v>
      </c>
      <c r="C41" s="14"/>
      <c r="D41" s="14">
        <f>B34</f>
        <v>27500</v>
      </c>
      <c r="E41" s="14">
        <f>D41*1.18/1000</f>
        <v>32.450000000000003</v>
      </c>
      <c r="F41" s="14">
        <f>D41*7.27/1000</f>
        <v>199.92500000000001</v>
      </c>
      <c r="G41" s="14">
        <f>D41*3.18/1000</f>
        <v>87.45</v>
      </c>
      <c r="H41" s="14">
        <f>G41+F41+E41</f>
        <v>319.82499999999999</v>
      </c>
      <c r="I41" s="14">
        <f>D41/125</f>
        <v>220</v>
      </c>
      <c r="J41" s="14">
        <f t="shared" ref="J41:J46" si="2">IFERROR(F37/I41,0)</f>
        <v>0</v>
      </c>
    </row>
    <row r="42" spans="1:12" ht="18.75" x14ac:dyDescent="0.3">
      <c r="A42" s="14"/>
      <c r="B42" s="14" t="s">
        <v>19</v>
      </c>
      <c r="C42" s="14"/>
      <c r="D42" s="14">
        <f>C34</f>
        <v>51536</v>
      </c>
      <c r="E42" s="14">
        <f>D42*1.63/1000</f>
        <v>84.003679999999989</v>
      </c>
      <c r="F42" s="14">
        <f>D42*10/1000</f>
        <v>515.36</v>
      </c>
      <c r="G42" s="14">
        <f>D42*4.4/1000</f>
        <v>226.75840000000002</v>
      </c>
      <c r="H42" s="14">
        <f t="shared" ref="H42:H44" si="3">G42+F42+E42</f>
        <v>826.1220800000001</v>
      </c>
      <c r="I42" s="14">
        <f>D42/83.33</f>
        <v>618.45673826953077</v>
      </c>
      <c r="J42" s="14">
        <f t="shared" si="2"/>
        <v>0</v>
      </c>
    </row>
    <row r="43" spans="1:12" ht="18.75" x14ac:dyDescent="0.3">
      <c r="A43" s="14"/>
      <c r="B43" s="14" t="s">
        <v>20</v>
      </c>
      <c r="C43" s="14"/>
      <c r="D43" s="14">
        <f>D34</f>
        <v>171384</v>
      </c>
      <c r="E43" s="14">
        <f>D43*1.81/1000</f>
        <v>310.20504000000005</v>
      </c>
      <c r="F43" s="14">
        <f>D43*11.11/1000</f>
        <v>1904.0762400000001</v>
      </c>
      <c r="G43" s="14">
        <f>D43*4.86/1000</f>
        <v>832.92624000000012</v>
      </c>
      <c r="H43" s="14">
        <f t="shared" si="3"/>
        <v>3047.2075199999999</v>
      </c>
      <c r="I43" s="14">
        <f t="shared" ref="I43:I44" si="4">D43/62.5</f>
        <v>2742.1439999999998</v>
      </c>
      <c r="J43" s="14">
        <f t="shared" si="2"/>
        <v>4.2117087942865145E-2</v>
      </c>
    </row>
    <row r="44" spans="1:12" ht="18.75" x14ac:dyDescent="0.3">
      <c r="A44" s="14"/>
      <c r="B44" s="37" t="s">
        <v>21</v>
      </c>
      <c r="C44" s="14"/>
      <c r="D44" s="14">
        <f>E34</f>
        <v>0</v>
      </c>
      <c r="E44" s="14">
        <f>D44*2.18/1000</f>
        <v>0</v>
      </c>
      <c r="F44" s="14">
        <f>D44*1.5*4.17/1000</f>
        <v>0</v>
      </c>
      <c r="G44" s="14">
        <f>D44*11.11/1000</f>
        <v>0</v>
      </c>
      <c r="H44" s="14">
        <f t="shared" si="3"/>
        <v>0</v>
      </c>
      <c r="I44" s="14">
        <f t="shared" si="4"/>
        <v>0</v>
      </c>
      <c r="J44" s="14">
        <f t="shared" si="2"/>
        <v>0</v>
      </c>
    </row>
    <row r="45" spans="1:12" ht="18.75" x14ac:dyDescent="0.3">
      <c r="A45" s="14"/>
      <c r="B45" s="36" t="s">
        <v>22</v>
      </c>
      <c r="C45" s="14"/>
      <c r="D45" s="14">
        <f>G34</f>
        <v>0</v>
      </c>
      <c r="E45" s="14">
        <f>D45*1.98/1000</f>
        <v>0</v>
      </c>
      <c r="F45" s="14"/>
      <c r="G45" s="14"/>
      <c r="H45" s="14"/>
      <c r="I45" s="14"/>
      <c r="J45" s="14">
        <f t="shared" si="2"/>
        <v>0</v>
      </c>
    </row>
    <row r="46" spans="1:12" ht="18.75" x14ac:dyDescent="0.3">
      <c r="A46" s="14"/>
      <c r="B46" s="14" t="s">
        <v>7</v>
      </c>
      <c r="C46" s="14"/>
      <c r="D46" s="14">
        <f>H34</f>
        <v>0</v>
      </c>
      <c r="E46" s="14">
        <f>D46*1.5*1.9/1000</f>
        <v>0</v>
      </c>
      <c r="F46" s="14"/>
      <c r="G46" s="14"/>
      <c r="H46" s="14"/>
      <c r="I46" s="14"/>
      <c r="J46" s="14">
        <f t="shared" si="2"/>
        <v>0</v>
      </c>
    </row>
    <row r="47" spans="1:12" ht="18.75" x14ac:dyDescent="0.3">
      <c r="A47" s="14"/>
      <c r="B47" s="14"/>
      <c r="C47" s="14"/>
      <c r="D47" s="14"/>
      <c r="E47" s="14">
        <f>SUM(E39:E46)</f>
        <v>445.45960000000002</v>
      </c>
      <c r="F47" s="14">
        <f>SUM(F39:F46)</f>
        <v>2734.8523599999999</v>
      </c>
      <c r="G47" s="14">
        <f>SUM(G39:G46)</f>
        <v>1197.6457600000001</v>
      </c>
      <c r="H47" s="14"/>
      <c r="I47" s="14">
        <f>SUM(I39:I46)</f>
        <v>3719.2247382695305</v>
      </c>
      <c r="J47" s="14"/>
    </row>
    <row r="48" spans="1:12" ht="18.7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7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75" x14ac:dyDescent="0.3">
      <c r="A51" s="2"/>
      <c r="B51" s="14" t="s">
        <v>29</v>
      </c>
      <c r="C51" s="37" t="s">
        <v>24</v>
      </c>
      <c r="D51" s="35" t="s">
        <v>25</v>
      </c>
      <c r="E51" s="35" t="s">
        <v>28</v>
      </c>
      <c r="F51" s="35" t="s">
        <v>26</v>
      </c>
      <c r="G51" s="14" t="s">
        <v>28</v>
      </c>
      <c r="H51" s="14" t="s">
        <v>27</v>
      </c>
      <c r="I51" s="14" t="s">
        <v>28</v>
      </c>
      <c r="J51" s="2"/>
    </row>
    <row r="52" spans="1:10" ht="18.75" x14ac:dyDescent="0.3">
      <c r="A52" s="2"/>
      <c r="B52" s="14" t="s">
        <v>23</v>
      </c>
      <c r="C52" s="14">
        <f>D41+D42+D43+D44+D45+D46</f>
        <v>250420</v>
      </c>
      <c r="D52" s="14">
        <f>E41+E42+E43+E44+E45+E46</f>
        <v>426.65872000000002</v>
      </c>
      <c r="E52" s="14">
        <f>D52*240</f>
        <v>102398.0928</v>
      </c>
      <c r="F52" s="14">
        <f>F41+F42+F43+F44</f>
        <v>2619.3612400000002</v>
      </c>
      <c r="G52" s="14">
        <f>F52*54</f>
        <v>141445.50696</v>
      </c>
      <c r="H52" s="14">
        <f>G41+G42+G43+G44+G45+G46</f>
        <v>1147.1346400000002</v>
      </c>
      <c r="I52" s="14">
        <f>H52*3</f>
        <v>3441.4039200000007</v>
      </c>
      <c r="J52" s="2"/>
    </row>
    <row r="53" spans="1:10" ht="18.75" x14ac:dyDescent="0.3">
      <c r="A53" s="2"/>
      <c r="B53" s="14" t="s">
        <v>14</v>
      </c>
      <c r="C53" s="14">
        <f>D39+D40</f>
        <v>8664</v>
      </c>
      <c r="D53" s="14">
        <f>E39+E40</f>
        <v>18.800879999999999</v>
      </c>
      <c r="E53" s="14">
        <f>D53*240</f>
        <v>4512.2111999999997</v>
      </c>
      <c r="F53" s="14">
        <f>F39+F40</f>
        <v>115.49112</v>
      </c>
      <c r="G53" s="14">
        <f>F53*54</f>
        <v>6236.5204800000001</v>
      </c>
      <c r="H53" s="14">
        <f>G39+G40</f>
        <v>50.511120000000005</v>
      </c>
      <c r="I53" s="14">
        <f>H53*3</f>
        <v>151.53336000000002</v>
      </c>
      <c r="J53" s="2"/>
    </row>
    <row r="54" spans="1:10" ht="18.7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"/>
      <c r="B55" s="38"/>
      <c r="C55" s="38"/>
      <c r="D55" s="38"/>
      <c r="E55" s="1"/>
      <c r="F55" s="1"/>
      <c r="G55" s="1"/>
      <c r="H55" s="1"/>
      <c r="I55" s="1"/>
      <c r="J55" s="1"/>
    </row>
    <row r="56" spans="1:10" x14ac:dyDescent="0.25">
      <c r="B56" s="20"/>
      <c r="C56" s="20"/>
      <c r="D56" s="20"/>
    </row>
    <row r="57" spans="1:10" x14ac:dyDescent="0.25">
      <c r="B57" s="20"/>
      <c r="C57" s="20"/>
      <c r="D57" s="20"/>
    </row>
  </sheetData>
  <mergeCells count="2">
    <mergeCell ref="A1:F1"/>
    <mergeCell ref="H1:K1"/>
  </mergeCells>
  <pageMargins left="0.23622047244094491" right="0.15748031496062992" top="0.19685039370078741" bottom="0.19685039370078741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pane ySplit="2" topLeftCell="A24" activePane="bottomLeft" state="frozen"/>
      <selection pane="bottomLeft" activeCell="F32" sqref="F32"/>
    </sheetView>
  </sheetViews>
  <sheetFormatPr defaultRowHeight="15" x14ac:dyDescent="0.25"/>
  <cols>
    <col min="1" max="1" width="6.42578125" customWidth="1"/>
    <col min="2" max="3" width="8.85546875" customWidth="1"/>
    <col min="4" max="4" width="9.42578125" bestFit="1" customWidth="1"/>
    <col min="5" max="5" width="9.7109375" customWidth="1"/>
    <col min="6" max="6" width="9.42578125" bestFit="1" customWidth="1"/>
    <col min="7" max="8" width="8.85546875" customWidth="1"/>
    <col min="9" max="9" width="9.28515625" customWidth="1"/>
    <col min="10" max="10" width="10.140625" bestFit="1" customWidth="1"/>
    <col min="11" max="11" width="10" customWidth="1"/>
  </cols>
  <sheetData>
    <row r="1" spans="1:15" ht="24" thickBot="1" x14ac:dyDescent="0.4">
      <c r="A1" s="98" t="s">
        <v>30</v>
      </c>
      <c r="B1" s="98"/>
      <c r="C1" s="98"/>
      <c r="D1" s="98"/>
      <c r="E1" s="98"/>
      <c r="F1" s="98"/>
      <c r="H1" s="99" t="s">
        <v>75</v>
      </c>
      <c r="I1" s="99"/>
      <c r="J1" s="99"/>
      <c r="K1" s="99"/>
    </row>
    <row r="2" spans="1:15" ht="18.75" customHeight="1" thickTop="1" thickBot="1" x14ac:dyDescent="0.3">
      <c r="A2" s="3" t="s">
        <v>71</v>
      </c>
      <c r="B2" s="6" t="s">
        <v>33</v>
      </c>
      <c r="C2" s="6" t="s">
        <v>93</v>
      </c>
      <c r="D2" s="6" t="s">
        <v>91</v>
      </c>
      <c r="E2" s="6" t="s">
        <v>1</v>
      </c>
      <c r="F2" s="7" t="s">
        <v>0</v>
      </c>
      <c r="G2" s="6" t="s">
        <v>2</v>
      </c>
      <c r="H2" s="7" t="s">
        <v>7</v>
      </c>
      <c r="I2" s="5" t="s">
        <v>3</v>
      </c>
      <c r="J2" s="4" t="s">
        <v>4</v>
      </c>
      <c r="K2" s="6" t="s">
        <v>5</v>
      </c>
    </row>
    <row r="3" spans="1:15" ht="24" customHeight="1" thickTop="1" x14ac:dyDescent="0.35">
      <c r="A3" s="10">
        <v>1</v>
      </c>
      <c r="B3" s="12"/>
      <c r="C3" s="2"/>
      <c r="D3" s="13"/>
      <c r="E3" s="12"/>
      <c r="F3" s="2"/>
      <c r="G3" s="13"/>
      <c r="H3" s="12"/>
      <c r="I3" s="2"/>
      <c r="J3" s="29">
        <f>SUM(B3:I3)</f>
        <v>0</v>
      </c>
      <c r="K3" s="23" t="s">
        <v>6</v>
      </c>
    </row>
    <row r="4" spans="1:15" ht="24" customHeight="1" x14ac:dyDescent="0.35">
      <c r="A4" s="15">
        <v>2</v>
      </c>
      <c r="B4" s="14"/>
      <c r="C4" s="14">
        <v>3056</v>
      </c>
      <c r="D4" s="14">
        <v>9516</v>
      </c>
      <c r="E4" s="14"/>
      <c r="F4" s="14"/>
      <c r="G4" s="14"/>
      <c r="H4" s="14"/>
      <c r="I4" s="14"/>
      <c r="J4" s="29">
        <f>SUM(B4:I4)</f>
        <v>12572</v>
      </c>
      <c r="K4" s="24"/>
    </row>
    <row r="5" spans="1:15" ht="24" customHeight="1" x14ac:dyDescent="0.35">
      <c r="A5" s="15">
        <v>3</v>
      </c>
      <c r="B5" s="14"/>
      <c r="C5" s="14">
        <v>3392</v>
      </c>
      <c r="D5" s="14">
        <v>10032</v>
      </c>
      <c r="E5" s="14"/>
      <c r="F5" s="14"/>
      <c r="G5" s="14"/>
      <c r="H5" s="14"/>
      <c r="I5" s="14"/>
      <c r="J5" s="29">
        <f t="shared" ref="J5:J35" si="0">SUM(B5:I5)</f>
        <v>13424</v>
      </c>
      <c r="K5" s="25"/>
    </row>
    <row r="6" spans="1:15" ht="24" customHeight="1" x14ac:dyDescent="0.35">
      <c r="A6" s="15">
        <v>4</v>
      </c>
      <c r="B6" s="14"/>
      <c r="C6" s="14">
        <v>3168</v>
      </c>
      <c r="D6" s="14">
        <v>9396</v>
      </c>
      <c r="E6" s="14"/>
      <c r="F6" s="14"/>
      <c r="G6" s="14"/>
      <c r="H6" s="14"/>
      <c r="I6" s="14"/>
      <c r="J6" s="29">
        <f t="shared" si="0"/>
        <v>12564</v>
      </c>
      <c r="K6" s="22"/>
    </row>
    <row r="7" spans="1:15" ht="24" customHeight="1" x14ac:dyDescent="0.35">
      <c r="A7" s="15">
        <v>5</v>
      </c>
      <c r="B7" s="44"/>
      <c r="C7" s="14">
        <v>3040</v>
      </c>
      <c r="D7" s="14">
        <v>9240</v>
      </c>
      <c r="E7" s="14"/>
      <c r="F7" s="14"/>
      <c r="G7" s="14"/>
      <c r="H7" s="14"/>
      <c r="I7" s="14"/>
      <c r="J7" s="29">
        <f t="shared" si="0"/>
        <v>12280</v>
      </c>
      <c r="K7" s="22"/>
      <c r="N7" s="20"/>
    </row>
    <row r="8" spans="1:15" ht="24" customHeight="1" x14ac:dyDescent="0.35">
      <c r="A8" s="15">
        <v>6</v>
      </c>
      <c r="B8" s="46"/>
      <c r="C8" s="14">
        <v>3168</v>
      </c>
      <c r="D8" s="45">
        <v>7944</v>
      </c>
      <c r="E8" s="14"/>
      <c r="F8" s="14"/>
      <c r="G8" s="14"/>
      <c r="H8" s="14"/>
      <c r="I8" s="14"/>
      <c r="J8" s="29">
        <f t="shared" si="0"/>
        <v>11112</v>
      </c>
      <c r="K8" s="22"/>
    </row>
    <row r="9" spans="1:15" ht="24" customHeight="1" x14ac:dyDescent="0.35">
      <c r="A9" s="15">
        <v>7</v>
      </c>
      <c r="B9" s="14">
        <v>15070</v>
      </c>
      <c r="C9" s="45"/>
      <c r="D9" s="14"/>
      <c r="E9" s="14"/>
      <c r="F9" s="14"/>
      <c r="G9" s="14"/>
      <c r="H9" s="14"/>
      <c r="I9" s="14"/>
      <c r="J9" s="29">
        <f t="shared" si="0"/>
        <v>15070</v>
      </c>
      <c r="K9" s="22"/>
    </row>
    <row r="10" spans="1:15" ht="24" customHeight="1" x14ac:dyDescent="0.35">
      <c r="A10" s="15">
        <v>8</v>
      </c>
      <c r="B10" s="44"/>
      <c r="C10" s="46"/>
      <c r="D10" s="14"/>
      <c r="E10" s="14"/>
      <c r="F10" s="14"/>
      <c r="G10" s="14"/>
      <c r="H10" s="14"/>
      <c r="I10" s="14"/>
      <c r="J10" s="29">
        <f t="shared" si="0"/>
        <v>0</v>
      </c>
      <c r="K10" s="22" t="s">
        <v>6</v>
      </c>
    </row>
    <row r="11" spans="1:15" ht="24" customHeight="1" x14ac:dyDescent="0.35">
      <c r="A11" s="16">
        <v>9</v>
      </c>
      <c r="B11" s="44"/>
      <c r="C11" s="46">
        <v>3536</v>
      </c>
      <c r="D11" s="14">
        <v>10416</v>
      </c>
      <c r="E11" s="14"/>
      <c r="F11" s="14"/>
      <c r="G11" s="14"/>
      <c r="H11" s="14"/>
      <c r="I11" s="14"/>
      <c r="J11" s="29">
        <f t="shared" si="0"/>
        <v>13952</v>
      </c>
      <c r="K11" s="24"/>
      <c r="O11" s="21"/>
    </row>
    <row r="12" spans="1:15" ht="24" customHeight="1" x14ac:dyDescent="0.35">
      <c r="A12" s="11">
        <v>10</v>
      </c>
      <c r="B12" s="14"/>
      <c r="C12" s="14">
        <v>1200</v>
      </c>
      <c r="D12" s="14">
        <v>7476</v>
      </c>
      <c r="E12" s="14"/>
      <c r="F12" s="14"/>
      <c r="G12" s="14"/>
      <c r="H12" s="14"/>
      <c r="I12" s="14"/>
      <c r="J12" s="29">
        <f t="shared" si="0"/>
        <v>8676</v>
      </c>
      <c r="K12" s="24"/>
    </row>
    <row r="13" spans="1:15" ht="24" customHeight="1" x14ac:dyDescent="0.35">
      <c r="A13" s="15">
        <v>11</v>
      </c>
      <c r="B13" s="14"/>
      <c r="C13" s="14">
        <v>3760</v>
      </c>
      <c r="D13" s="14">
        <v>8988</v>
      </c>
      <c r="E13" s="14"/>
      <c r="F13" s="14"/>
      <c r="G13" s="14"/>
      <c r="H13" s="14"/>
      <c r="I13" s="14"/>
      <c r="J13" s="29">
        <f t="shared" si="0"/>
        <v>12748</v>
      </c>
      <c r="K13" s="25"/>
    </row>
    <row r="14" spans="1:15" ht="24" customHeight="1" x14ac:dyDescent="0.35">
      <c r="A14" s="16">
        <v>12</v>
      </c>
      <c r="B14" s="14"/>
      <c r="C14" s="14">
        <v>2752</v>
      </c>
      <c r="D14" s="14">
        <v>9288</v>
      </c>
      <c r="E14" s="14"/>
      <c r="F14" s="14"/>
      <c r="G14" s="14"/>
      <c r="H14" s="14"/>
      <c r="I14" s="14"/>
      <c r="J14" s="29">
        <f t="shared" si="0"/>
        <v>12040</v>
      </c>
      <c r="K14" s="24"/>
    </row>
    <row r="15" spans="1:15" ht="24" customHeight="1" x14ac:dyDescent="0.35">
      <c r="A15" s="11">
        <v>13</v>
      </c>
      <c r="B15" s="14"/>
      <c r="C15" s="14">
        <v>4464</v>
      </c>
      <c r="D15" s="14">
        <v>9336</v>
      </c>
      <c r="E15" s="14"/>
      <c r="F15" s="14"/>
      <c r="G15" s="14"/>
      <c r="H15" s="14"/>
      <c r="I15" s="14"/>
      <c r="J15" s="29">
        <f t="shared" si="0"/>
        <v>13800</v>
      </c>
      <c r="K15" s="24"/>
    </row>
    <row r="16" spans="1:15" ht="24.75" customHeight="1" x14ac:dyDescent="0.35">
      <c r="A16" s="15">
        <v>14</v>
      </c>
      <c r="B16" s="14"/>
      <c r="C16" s="14"/>
      <c r="D16" s="14">
        <v>9240</v>
      </c>
      <c r="E16" s="14"/>
      <c r="F16" s="14"/>
      <c r="G16" s="14"/>
      <c r="H16" s="14"/>
      <c r="I16" s="14"/>
      <c r="J16" s="29">
        <f t="shared" si="0"/>
        <v>9240</v>
      </c>
      <c r="K16" s="40"/>
    </row>
    <row r="17" spans="1:14" ht="24" customHeight="1" x14ac:dyDescent="0.35">
      <c r="A17" s="15">
        <v>15</v>
      </c>
      <c r="B17" s="14"/>
      <c r="C17" s="14"/>
      <c r="D17" s="14"/>
      <c r="E17" s="14"/>
      <c r="F17" s="14"/>
      <c r="G17" s="14"/>
      <c r="H17" s="14"/>
      <c r="I17" s="14"/>
      <c r="J17" s="29">
        <f t="shared" si="0"/>
        <v>0</v>
      </c>
      <c r="K17" s="24" t="s">
        <v>6</v>
      </c>
    </row>
    <row r="18" spans="1:14" ht="24" customHeight="1" x14ac:dyDescent="0.3">
      <c r="A18" s="15">
        <v>16</v>
      </c>
      <c r="B18" s="14"/>
      <c r="C18" s="14">
        <v>4112</v>
      </c>
      <c r="D18" s="14">
        <v>9288</v>
      </c>
      <c r="E18" s="14"/>
      <c r="F18" s="14"/>
      <c r="G18" s="14"/>
      <c r="H18" s="14"/>
      <c r="I18" s="14"/>
      <c r="J18" s="29">
        <f t="shared" si="0"/>
        <v>13400</v>
      </c>
      <c r="K18" s="39"/>
    </row>
    <row r="19" spans="1:14" ht="24" customHeight="1" x14ac:dyDescent="0.35">
      <c r="A19" s="15">
        <v>17</v>
      </c>
      <c r="B19" s="14"/>
      <c r="C19" s="14">
        <v>3168</v>
      </c>
      <c r="D19" s="14">
        <v>8268</v>
      </c>
      <c r="E19" s="14"/>
      <c r="F19" s="14"/>
      <c r="G19" s="14"/>
      <c r="H19" s="14"/>
      <c r="I19" s="14"/>
      <c r="J19" s="29">
        <f t="shared" si="0"/>
        <v>11436</v>
      </c>
      <c r="K19" s="24"/>
    </row>
    <row r="20" spans="1:14" ht="24" customHeight="1" x14ac:dyDescent="0.35">
      <c r="A20" s="16">
        <v>18</v>
      </c>
      <c r="B20" s="14"/>
      <c r="C20" s="14">
        <v>3504</v>
      </c>
      <c r="D20" s="14">
        <v>7884</v>
      </c>
      <c r="E20" s="14"/>
      <c r="F20" s="14"/>
      <c r="G20" s="14"/>
      <c r="H20" s="14"/>
      <c r="I20" s="14"/>
      <c r="J20" s="29">
        <f t="shared" si="0"/>
        <v>11388</v>
      </c>
      <c r="K20" s="24"/>
    </row>
    <row r="21" spans="1:14" ht="24" customHeight="1" x14ac:dyDescent="0.35">
      <c r="A21" s="16">
        <v>19</v>
      </c>
      <c r="B21" s="14"/>
      <c r="C21" s="14">
        <v>3264</v>
      </c>
      <c r="D21" s="14">
        <v>8220</v>
      </c>
      <c r="E21" s="14"/>
      <c r="F21" s="14"/>
      <c r="G21" s="14"/>
      <c r="H21" s="14"/>
      <c r="I21" s="14"/>
      <c r="J21" s="29">
        <f t="shared" si="0"/>
        <v>11484</v>
      </c>
      <c r="K21" s="26"/>
    </row>
    <row r="22" spans="1:14" ht="24" customHeight="1" x14ac:dyDescent="0.35">
      <c r="A22" s="11">
        <v>20</v>
      </c>
      <c r="B22" s="14"/>
      <c r="C22" s="14">
        <v>3600</v>
      </c>
      <c r="D22" s="14">
        <v>8244</v>
      </c>
      <c r="E22" s="14"/>
      <c r="F22" s="14"/>
      <c r="G22" s="14"/>
      <c r="H22" s="14"/>
      <c r="I22" s="14"/>
      <c r="J22" s="29">
        <f t="shared" si="0"/>
        <v>11844</v>
      </c>
      <c r="K22" s="25"/>
      <c r="N22" s="42"/>
    </row>
    <row r="23" spans="1:14" ht="24" customHeight="1" x14ac:dyDescent="0.35">
      <c r="A23" s="15">
        <v>21</v>
      </c>
      <c r="B23" s="14"/>
      <c r="C23" s="14"/>
      <c r="D23" s="14"/>
      <c r="E23" s="14"/>
      <c r="F23" s="14">
        <v>7332</v>
      </c>
      <c r="G23" s="14"/>
      <c r="H23" s="14"/>
      <c r="I23" s="14"/>
      <c r="J23" s="29">
        <f t="shared" si="0"/>
        <v>7332</v>
      </c>
      <c r="K23" s="24"/>
    </row>
    <row r="24" spans="1:14" ht="24" customHeight="1" x14ac:dyDescent="0.35">
      <c r="A24" s="16">
        <v>22</v>
      </c>
      <c r="B24" s="14"/>
      <c r="C24" s="14"/>
      <c r="D24" s="14"/>
      <c r="E24" s="14"/>
      <c r="F24" s="14"/>
      <c r="G24" s="14"/>
      <c r="H24" s="14"/>
      <c r="I24" s="14"/>
      <c r="J24" s="29">
        <f t="shared" si="0"/>
        <v>0</v>
      </c>
      <c r="K24" s="43" t="s">
        <v>6</v>
      </c>
    </row>
    <row r="25" spans="1:14" ht="26.25" customHeight="1" x14ac:dyDescent="0.3">
      <c r="A25" s="18">
        <v>23</v>
      </c>
      <c r="B25" s="14"/>
      <c r="C25" s="14">
        <v>2688</v>
      </c>
      <c r="D25" s="14">
        <v>8220</v>
      </c>
      <c r="E25" s="14"/>
      <c r="F25" s="14"/>
      <c r="G25" s="14"/>
      <c r="H25" s="14"/>
      <c r="I25" s="14"/>
      <c r="J25" s="29">
        <f t="shared" si="0"/>
        <v>10908</v>
      </c>
      <c r="K25" s="41"/>
    </row>
    <row r="26" spans="1:14" ht="24" customHeight="1" x14ac:dyDescent="0.35">
      <c r="A26" s="18">
        <v>24</v>
      </c>
      <c r="B26" s="14"/>
      <c r="C26" s="14">
        <v>4560</v>
      </c>
      <c r="D26" s="14">
        <v>9300</v>
      </c>
      <c r="E26" s="14"/>
      <c r="F26" s="14"/>
      <c r="G26" s="14"/>
      <c r="H26" s="14"/>
      <c r="I26" s="14"/>
      <c r="J26" s="29">
        <f t="shared" si="0"/>
        <v>13860</v>
      </c>
      <c r="K26" s="26"/>
    </row>
    <row r="27" spans="1:14" ht="24" customHeight="1" x14ac:dyDescent="0.35">
      <c r="A27" s="18">
        <v>25</v>
      </c>
      <c r="B27" s="14">
        <v>16544</v>
      </c>
      <c r="C27" s="14"/>
      <c r="D27" s="14"/>
      <c r="E27" s="14"/>
      <c r="F27" s="14"/>
      <c r="G27" s="14"/>
      <c r="H27" s="14"/>
      <c r="I27" s="14"/>
      <c r="J27" s="29">
        <f t="shared" si="0"/>
        <v>16544</v>
      </c>
      <c r="K27" s="26"/>
    </row>
    <row r="28" spans="1:14" ht="24" customHeight="1" x14ac:dyDescent="0.35">
      <c r="A28" s="18">
        <v>26</v>
      </c>
      <c r="B28" s="14"/>
      <c r="C28" s="14"/>
      <c r="D28" s="14"/>
      <c r="E28" s="14"/>
      <c r="F28" s="14"/>
      <c r="G28" s="14"/>
      <c r="H28" s="14"/>
      <c r="I28" s="14"/>
      <c r="J28" s="29">
        <f t="shared" si="0"/>
        <v>0</v>
      </c>
      <c r="K28" s="25" t="s">
        <v>74</v>
      </c>
    </row>
    <row r="29" spans="1:14" ht="24" customHeight="1" x14ac:dyDescent="0.35">
      <c r="A29" s="18">
        <v>27</v>
      </c>
      <c r="B29" s="14"/>
      <c r="C29" s="14"/>
      <c r="D29" s="14"/>
      <c r="E29" s="14"/>
      <c r="F29" s="14"/>
      <c r="G29" s="14"/>
      <c r="H29" s="14"/>
      <c r="I29" s="14"/>
      <c r="J29" s="29">
        <f t="shared" si="0"/>
        <v>0</v>
      </c>
      <c r="K29" s="24" t="s">
        <v>74</v>
      </c>
    </row>
    <row r="30" spans="1:14" ht="24" customHeight="1" x14ac:dyDescent="0.35">
      <c r="A30" s="11">
        <v>28</v>
      </c>
      <c r="B30" s="14"/>
      <c r="C30" s="14"/>
      <c r="D30" s="14"/>
      <c r="E30" s="14"/>
      <c r="F30" s="14"/>
      <c r="G30" s="14"/>
      <c r="H30" s="14"/>
      <c r="I30" s="14"/>
      <c r="J30" s="29">
        <f t="shared" si="0"/>
        <v>0</v>
      </c>
      <c r="K30" s="25" t="s">
        <v>74</v>
      </c>
    </row>
    <row r="31" spans="1:14" ht="24" customHeight="1" x14ac:dyDescent="0.35">
      <c r="A31" s="16">
        <v>29</v>
      </c>
      <c r="B31" s="14"/>
      <c r="C31" s="14"/>
      <c r="D31" s="14"/>
      <c r="E31" s="14"/>
      <c r="F31" s="14"/>
      <c r="G31" s="14"/>
      <c r="H31" s="14"/>
      <c r="I31" s="14"/>
      <c r="J31" s="29">
        <f t="shared" si="0"/>
        <v>0</v>
      </c>
      <c r="K31" s="24" t="s">
        <v>6</v>
      </c>
    </row>
    <row r="32" spans="1:14" ht="24" customHeight="1" x14ac:dyDescent="0.35">
      <c r="A32" s="11">
        <v>30</v>
      </c>
      <c r="B32" s="14"/>
      <c r="C32" s="14"/>
      <c r="D32" s="14"/>
      <c r="E32" s="14"/>
      <c r="F32" s="14"/>
      <c r="G32" s="14"/>
      <c r="H32" s="14"/>
      <c r="I32" s="14"/>
      <c r="J32" s="29">
        <f t="shared" si="0"/>
        <v>0</v>
      </c>
      <c r="K32" s="24" t="s">
        <v>74</v>
      </c>
    </row>
    <row r="33" spans="1:12" ht="24" customHeight="1" thickBot="1" x14ac:dyDescent="0.4">
      <c r="A33" s="17">
        <v>31</v>
      </c>
      <c r="B33" s="19"/>
      <c r="C33" s="2">
        <v>3200</v>
      </c>
      <c r="D33" s="19">
        <v>9348</v>
      </c>
      <c r="E33" s="19"/>
      <c r="F33" s="19"/>
      <c r="G33" s="19"/>
      <c r="H33" s="19"/>
      <c r="I33" s="2"/>
      <c r="J33" s="29">
        <f t="shared" si="0"/>
        <v>12548</v>
      </c>
      <c r="K33" s="27"/>
    </row>
    <row r="34" spans="1:12" ht="24" customHeight="1" thickTop="1" thickBot="1" x14ac:dyDescent="0.35">
      <c r="A34" s="8"/>
      <c r="B34" s="8">
        <f t="shared" ref="B34:H34" si="1">SUM(B3:B33)</f>
        <v>31614</v>
      </c>
      <c r="C34" s="8">
        <f t="shared" si="1"/>
        <v>59632</v>
      </c>
      <c r="D34" s="8">
        <f t="shared" si="1"/>
        <v>169644</v>
      </c>
      <c r="E34" s="8">
        <f t="shared" si="1"/>
        <v>0</v>
      </c>
      <c r="F34" s="8">
        <f t="shared" si="1"/>
        <v>7332</v>
      </c>
      <c r="G34" s="8">
        <f t="shared" si="1"/>
        <v>0</v>
      </c>
      <c r="H34" s="8">
        <f t="shared" si="1"/>
        <v>0</v>
      </c>
      <c r="I34" s="8">
        <f>SUM(I3:I33)</f>
        <v>0</v>
      </c>
      <c r="J34" s="29">
        <f t="shared" si="0"/>
        <v>268222</v>
      </c>
      <c r="K34" s="9"/>
    </row>
    <row r="35" spans="1:12" ht="24" customHeight="1" thickTop="1" thickBot="1" x14ac:dyDescent="0.35">
      <c r="A35" s="8"/>
      <c r="B35" s="8">
        <f>B34*1.9</f>
        <v>60066.6</v>
      </c>
      <c r="C35" s="32">
        <f>C34*1.95</f>
        <v>116282.4</v>
      </c>
      <c r="D35" s="33">
        <f>D34*2</f>
        <v>339288</v>
      </c>
      <c r="E35" s="32">
        <f>E34*2.2</f>
        <v>0</v>
      </c>
      <c r="F35" s="32">
        <f>F34*4.2</f>
        <v>30794.400000000001</v>
      </c>
      <c r="G35" s="33">
        <f>G34*2.7</f>
        <v>0</v>
      </c>
      <c r="H35" s="32">
        <f>H34*4</f>
        <v>0</v>
      </c>
      <c r="I35" s="32">
        <f>I34*5.2</f>
        <v>0</v>
      </c>
      <c r="J35" s="29">
        <f t="shared" si="0"/>
        <v>546431.4</v>
      </c>
      <c r="K35" s="9">
        <f>J35/J34</f>
        <v>2.0372355735174597</v>
      </c>
      <c r="L35" s="31"/>
    </row>
    <row r="36" spans="1:12" ht="19.5" thickTop="1" x14ac:dyDescent="0.3">
      <c r="A36" s="30"/>
      <c r="B36" s="2"/>
      <c r="C36" s="2"/>
      <c r="D36" s="2"/>
      <c r="E36" s="2"/>
      <c r="F36" s="2"/>
      <c r="G36" s="2"/>
      <c r="H36" s="2"/>
      <c r="I36" s="2"/>
      <c r="J36" s="28"/>
    </row>
    <row r="37" spans="1:12" ht="18.7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8.75" x14ac:dyDescent="0.3">
      <c r="A38" s="14"/>
      <c r="B38" s="14" t="s">
        <v>8</v>
      </c>
      <c r="C38" s="14"/>
      <c r="D38" s="14" t="s">
        <v>9</v>
      </c>
      <c r="E38" s="14" t="s">
        <v>10</v>
      </c>
      <c r="F38" s="14" t="s">
        <v>11</v>
      </c>
      <c r="G38" s="14" t="s">
        <v>12</v>
      </c>
      <c r="H38" s="14" t="s">
        <v>13</v>
      </c>
      <c r="I38" s="14" t="s">
        <v>15</v>
      </c>
      <c r="J38" s="35" t="s">
        <v>16</v>
      </c>
      <c r="K38" s="34"/>
    </row>
    <row r="39" spans="1:12" ht="18.75" x14ac:dyDescent="0.3">
      <c r="A39" s="14"/>
      <c r="B39" s="14" t="s">
        <v>14</v>
      </c>
      <c r="C39" s="14"/>
      <c r="D39" s="14">
        <f>F34</f>
        <v>7332</v>
      </c>
      <c r="E39" s="14">
        <f>D39*2.17/1000</f>
        <v>15.910439999999999</v>
      </c>
      <c r="F39" s="14">
        <f>D39*13.33/1000</f>
        <v>97.735559999999992</v>
      </c>
      <c r="G39" s="14">
        <f>D39*5.83/1000</f>
        <v>42.745559999999998</v>
      </c>
      <c r="H39" s="14">
        <f>G39+F39+E39</f>
        <v>156.39155999999997</v>
      </c>
      <c r="I39" s="14">
        <f>D39/62.5</f>
        <v>117.312</v>
      </c>
      <c r="J39" s="14">
        <f>IFERROR(F35/I39,0)</f>
        <v>262.5</v>
      </c>
    </row>
    <row r="40" spans="1:12" ht="18.75" x14ac:dyDescent="0.3">
      <c r="A40" s="14"/>
      <c r="B40" s="14" t="s">
        <v>17</v>
      </c>
      <c r="C40" s="14"/>
      <c r="D40" s="14">
        <f>I34</f>
        <v>0</v>
      </c>
      <c r="E40" s="14">
        <f>D40*3.25/1000</f>
        <v>0</v>
      </c>
      <c r="F40" s="14">
        <f>D40*1.5*4.55/1000</f>
        <v>0</v>
      </c>
      <c r="G40" s="14">
        <f>D40*1.5*12.12/1000</f>
        <v>0</v>
      </c>
      <c r="H40" s="14">
        <f>G40+F40+E40</f>
        <v>0</v>
      </c>
      <c r="I40" s="14">
        <f>D40/41.625</f>
        <v>0</v>
      </c>
      <c r="J40" s="14">
        <f>IFERROR(F36/I40,0)</f>
        <v>0</v>
      </c>
    </row>
    <row r="41" spans="1:12" ht="18.75" x14ac:dyDescent="0.3">
      <c r="A41" s="14"/>
      <c r="B41" s="14" t="s">
        <v>18</v>
      </c>
      <c r="C41" s="14"/>
      <c r="D41" s="14">
        <f>B34</f>
        <v>31614</v>
      </c>
      <c r="E41" s="14">
        <f>D41*1.18/1000</f>
        <v>37.304519999999997</v>
      </c>
      <c r="F41" s="14">
        <f>D41*7.27/1000</f>
        <v>229.83377999999999</v>
      </c>
      <c r="G41" s="14">
        <f>D41*3.18/1000</f>
        <v>100.53252000000001</v>
      </c>
      <c r="H41" s="14">
        <f>G41+F41+E41</f>
        <v>367.67082000000005</v>
      </c>
      <c r="I41" s="14">
        <f>D41/125</f>
        <v>252.91200000000001</v>
      </c>
      <c r="J41" s="14">
        <f t="shared" ref="J41:J46" si="2">IFERROR(F37/I41,0)</f>
        <v>0</v>
      </c>
    </row>
    <row r="42" spans="1:12" ht="18.75" x14ac:dyDescent="0.3">
      <c r="A42" s="14"/>
      <c r="B42" s="14" t="s">
        <v>19</v>
      </c>
      <c r="C42" s="14"/>
      <c r="D42" s="14">
        <f>C34</f>
        <v>59632</v>
      </c>
      <c r="E42" s="14">
        <f>D42*1.63/1000</f>
        <v>97.200159999999983</v>
      </c>
      <c r="F42" s="14">
        <f>D42*10/1000</f>
        <v>596.32000000000005</v>
      </c>
      <c r="G42" s="14">
        <f>D42*4.4/1000</f>
        <v>262.38080000000002</v>
      </c>
      <c r="H42" s="14">
        <f t="shared" ref="H42:H44" si="3">G42+F42+E42</f>
        <v>955.90096000000005</v>
      </c>
      <c r="I42" s="14">
        <f>D42/83.33</f>
        <v>715.6126245049802</v>
      </c>
      <c r="J42" s="14">
        <f t="shared" si="2"/>
        <v>0</v>
      </c>
    </row>
    <row r="43" spans="1:12" ht="18.75" x14ac:dyDescent="0.3">
      <c r="A43" s="14"/>
      <c r="B43" s="14" t="s">
        <v>20</v>
      </c>
      <c r="C43" s="14"/>
      <c r="D43" s="14">
        <f>D34</f>
        <v>169644</v>
      </c>
      <c r="E43" s="14">
        <f>D43*1.81/1000</f>
        <v>307.05564000000004</v>
      </c>
      <c r="F43" s="14">
        <f>D43*11.11/1000</f>
        <v>1884.7448399999998</v>
      </c>
      <c r="G43" s="14">
        <f>D43*4.86/1000</f>
        <v>824.46984000000009</v>
      </c>
      <c r="H43" s="14">
        <f t="shared" si="3"/>
        <v>3016.2703200000001</v>
      </c>
      <c r="I43" s="14">
        <f t="shared" ref="I43:I44" si="4">D43/62.5</f>
        <v>2714.3040000000001</v>
      </c>
      <c r="J43" s="14">
        <f t="shared" si="2"/>
        <v>3.6007595317252596E-2</v>
      </c>
    </row>
    <row r="44" spans="1:12" ht="18.75" x14ac:dyDescent="0.3">
      <c r="A44" s="14"/>
      <c r="B44" s="37" t="s">
        <v>21</v>
      </c>
      <c r="C44" s="14"/>
      <c r="D44" s="14">
        <f>E34</f>
        <v>0</v>
      </c>
      <c r="E44" s="14">
        <f>D44*2.18/1000</f>
        <v>0</v>
      </c>
      <c r="F44" s="14">
        <f>D44*1.5*4.17/1000</f>
        <v>0</v>
      </c>
      <c r="G44" s="14">
        <f>D44*11.11/1000</f>
        <v>0</v>
      </c>
      <c r="H44" s="14">
        <f t="shared" si="3"/>
        <v>0</v>
      </c>
      <c r="I44" s="14">
        <f t="shared" si="4"/>
        <v>0</v>
      </c>
      <c r="J44" s="14">
        <f t="shared" si="2"/>
        <v>0</v>
      </c>
    </row>
    <row r="45" spans="1:12" ht="18.75" x14ac:dyDescent="0.3">
      <c r="A45" s="14"/>
      <c r="B45" s="36" t="s">
        <v>22</v>
      </c>
      <c r="C45" s="14"/>
      <c r="D45" s="14">
        <f>G34</f>
        <v>0</v>
      </c>
      <c r="E45" s="14">
        <f>D45*1.98/1000</f>
        <v>0</v>
      </c>
      <c r="F45" s="14"/>
      <c r="G45" s="14"/>
      <c r="H45" s="14"/>
      <c r="I45" s="14"/>
      <c r="J45" s="14">
        <f t="shared" si="2"/>
        <v>0</v>
      </c>
    </row>
    <row r="46" spans="1:12" ht="18.75" x14ac:dyDescent="0.3">
      <c r="A46" s="14"/>
      <c r="B46" s="14" t="s">
        <v>7</v>
      </c>
      <c r="C46" s="14"/>
      <c r="D46" s="14">
        <f>H34</f>
        <v>0</v>
      </c>
      <c r="E46" s="14">
        <f>D46*1.5*1.9/1000</f>
        <v>0</v>
      </c>
      <c r="F46" s="14"/>
      <c r="G46" s="14"/>
      <c r="H46" s="14"/>
      <c r="I46" s="14"/>
      <c r="J46" s="14">
        <f t="shared" si="2"/>
        <v>0</v>
      </c>
    </row>
    <row r="47" spans="1:12" ht="18.75" x14ac:dyDescent="0.3">
      <c r="A47" s="14"/>
      <c r="B47" s="14"/>
      <c r="C47" s="14"/>
      <c r="D47" s="14"/>
      <c r="E47" s="14">
        <f>SUM(E39:E46)</f>
        <v>457.47076000000004</v>
      </c>
      <c r="F47" s="14">
        <f>SUM(F39:F46)</f>
        <v>2808.63418</v>
      </c>
      <c r="G47" s="14">
        <f>SUM(G39:G46)</f>
        <v>1230.1287200000002</v>
      </c>
      <c r="H47" s="14"/>
      <c r="I47" s="14">
        <f>SUM(I39:I46)</f>
        <v>3800.1406245049802</v>
      </c>
      <c r="J47" s="14"/>
    </row>
    <row r="48" spans="1:12" ht="18.7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7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75" x14ac:dyDescent="0.3">
      <c r="A51" s="2"/>
      <c r="B51" s="14" t="s">
        <v>29</v>
      </c>
      <c r="C51" s="37" t="s">
        <v>24</v>
      </c>
      <c r="D51" s="35" t="s">
        <v>25</v>
      </c>
      <c r="E51" s="35" t="s">
        <v>28</v>
      </c>
      <c r="F51" s="35" t="s">
        <v>26</v>
      </c>
      <c r="G51" s="14" t="s">
        <v>28</v>
      </c>
      <c r="H51" s="14" t="s">
        <v>27</v>
      </c>
      <c r="I51" s="14" t="s">
        <v>28</v>
      </c>
      <c r="J51" s="2"/>
    </row>
    <row r="52" spans="1:10" ht="18.75" x14ac:dyDescent="0.3">
      <c r="A52" s="2"/>
      <c r="B52" s="14" t="s">
        <v>23</v>
      </c>
      <c r="C52" s="14">
        <f>D41+D42+D43+D44+D45+D46</f>
        <v>260890</v>
      </c>
      <c r="D52" s="14">
        <f>E41+E42+E43+E44+E45+E46</f>
        <v>441.56032000000005</v>
      </c>
      <c r="E52" s="14">
        <f>D52*240</f>
        <v>105974.4768</v>
      </c>
      <c r="F52" s="14">
        <f>F41+F42+F43+F44</f>
        <v>2710.8986199999999</v>
      </c>
      <c r="G52" s="14">
        <f>F52*54</f>
        <v>146388.52548000001</v>
      </c>
      <c r="H52" s="14">
        <f>G41+G42+G43+G44+G45+G46</f>
        <v>1187.3831600000001</v>
      </c>
      <c r="I52" s="14">
        <f>H52*3</f>
        <v>3562.14948</v>
      </c>
      <c r="J52" s="2"/>
    </row>
    <row r="53" spans="1:10" ht="18.75" x14ac:dyDescent="0.3">
      <c r="A53" s="2"/>
      <c r="B53" s="14" t="s">
        <v>14</v>
      </c>
      <c r="C53" s="14">
        <f>D39+D40</f>
        <v>7332</v>
      </c>
      <c r="D53" s="14">
        <f>E39+E40</f>
        <v>15.910439999999999</v>
      </c>
      <c r="E53" s="14">
        <f>D53*240</f>
        <v>3818.5056</v>
      </c>
      <c r="F53" s="14">
        <f>F39+F40</f>
        <v>97.735559999999992</v>
      </c>
      <c r="G53" s="14">
        <f>F53*54</f>
        <v>5277.7202399999996</v>
      </c>
      <c r="H53" s="14">
        <f>G39+G40</f>
        <v>42.745559999999998</v>
      </c>
      <c r="I53" s="14">
        <f>H53*3</f>
        <v>128.23667999999998</v>
      </c>
      <c r="J53" s="2"/>
    </row>
    <row r="54" spans="1:10" ht="18.7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"/>
      <c r="B55" s="38"/>
      <c r="C55" s="38"/>
      <c r="D55" s="38"/>
      <c r="E55" s="1"/>
      <c r="F55" s="1"/>
      <c r="G55" s="1"/>
      <c r="H55" s="1"/>
      <c r="I55" s="1"/>
      <c r="J55" s="1"/>
    </row>
    <row r="56" spans="1:10" x14ac:dyDescent="0.25">
      <c r="B56" s="20"/>
      <c r="C56" s="20"/>
      <c r="D56" s="20"/>
    </row>
    <row r="57" spans="1:10" x14ac:dyDescent="0.25">
      <c r="B57" s="20"/>
      <c r="C57" s="20"/>
      <c r="D57" s="20"/>
    </row>
  </sheetData>
  <mergeCells count="2">
    <mergeCell ref="A1:F1"/>
    <mergeCell ref="H1:K1"/>
  </mergeCells>
  <pageMargins left="0.23622047244094491" right="0.15748031496062992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pane ySplit="2" topLeftCell="A24" activePane="bottomLeft" state="frozen"/>
      <selection pane="bottomLeft" activeCell="M35" sqref="M35"/>
    </sheetView>
  </sheetViews>
  <sheetFormatPr defaultRowHeight="15" x14ac:dyDescent="0.25"/>
  <cols>
    <col min="1" max="1" width="6.42578125" customWidth="1"/>
    <col min="2" max="3" width="8.85546875" customWidth="1"/>
    <col min="4" max="4" width="9.42578125" bestFit="1" customWidth="1"/>
    <col min="5" max="5" width="9.7109375" customWidth="1"/>
    <col min="6" max="6" width="9.42578125" bestFit="1" customWidth="1"/>
    <col min="7" max="8" width="8.85546875" customWidth="1"/>
    <col min="9" max="9" width="9.28515625" customWidth="1"/>
    <col min="10" max="10" width="10.140625" bestFit="1" customWidth="1"/>
    <col min="11" max="11" width="10" customWidth="1"/>
  </cols>
  <sheetData>
    <row r="1" spans="1:15" ht="24" thickBot="1" x14ac:dyDescent="0.4">
      <c r="A1" s="98" t="s">
        <v>30</v>
      </c>
      <c r="B1" s="98"/>
      <c r="C1" s="98"/>
      <c r="D1" s="98"/>
      <c r="E1" s="98"/>
      <c r="F1" s="98"/>
      <c r="H1" s="99" t="s">
        <v>80</v>
      </c>
      <c r="I1" s="99"/>
      <c r="J1" s="99"/>
      <c r="K1" s="99"/>
    </row>
    <row r="2" spans="1:15" ht="18.75" customHeight="1" thickTop="1" thickBot="1" x14ac:dyDescent="0.3">
      <c r="A2" s="3" t="s">
        <v>79</v>
      </c>
      <c r="B2" s="6" t="s">
        <v>33</v>
      </c>
      <c r="C2" s="6" t="s">
        <v>93</v>
      </c>
      <c r="D2" s="6" t="s">
        <v>91</v>
      </c>
      <c r="E2" s="6" t="s">
        <v>1</v>
      </c>
      <c r="F2" s="7" t="s">
        <v>0</v>
      </c>
      <c r="G2" s="6" t="s">
        <v>2</v>
      </c>
      <c r="H2" s="7" t="s">
        <v>7</v>
      </c>
      <c r="I2" s="5" t="s">
        <v>3</v>
      </c>
      <c r="J2" s="4" t="s">
        <v>4</v>
      </c>
      <c r="K2" s="6" t="s">
        <v>5</v>
      </c>
    </row>
    <row r="3" spans="1:15" ht="24" customHeight="1" thickTop="1" x14ac:dyDescent="0.35">
      <c r="A3" s="10">
        <v>1</v>
      </c>
      <c r="B3" s="12"/>
      <c r="C3" s="2">
        <v>4640</v>
      </c>
      <c r="D3" s="13">
        <v>9396</v>
      </c>
      <c r="E3" s="12"/>
      <c r="F3" s="2"/>
      <c r="G3" s="13"/>
      <c r="H3" s="12"/>
      <c r="I3" s="2"/>
      <c r="J3" s="29">
        <f>SUM(B3:I3)</f>
        <v>14036</v>
      </c>
      <c r="K3" s="23"/>
    </row>
    <row r="4" spans="1:15" ht="24" customHeight="1" x14ac:dyDescent="0.35">
      <c r="A4" s="15">
        <v>2</v>
      </c>
      <c r="B4" s="14"/>
      <c r="C4" s="14"/>
      <c r="D4" s="14">
        <v>9348</v>
      </c>
      <c r="E4" s="14"/>
      <c r="F4" s="14"/>
      <c r="G4" s="14"/>
      <c r="H4" s="14"/>
      <c r="I4" s="14"/>
      <c r="J4" s="29">
        <f t="shared" ref="J4:J35" si="0">SUM(B4:I4)</f>
        <v>9348</v>
      </c>
      <c r="K4" s="24"/>
    </row>
    <row r="5" spans="1:15" ht="24" customHeight="1" x14ac:dyDescent="0.35">
      <c r="A5" s="15">
        <v>3</v>
      </c>
      <c r="B5" s="14"/>
      <c r="C5" s="14">
        <v>880</v>
      </c>
      <c r="D5" s="14">
        <v>8616</v>
      </c>
      <c r="E5" s="14"/>
      <c r="F5" s="14"/>
      <c r="G5" s="14"/>
      <c r="H5" s="14"/>
      <c r="I5" s="14"/>
      <c r="J5" s="29">
        <f t="shared" si="0"/>
        <v>9496</v>
      </c>
      <c r="K5" s="25"/>
    </row>
    <row r="6" spans="1:15" ht="24" customHeight="1" x14ac:dyDescent="0.35">
      <c r="A6" s="15">
        <v>4</v>
      </c>
      <c r="B6" s="14"/>
      <c r="C6" s="14"/>
      <c r="D6" s="14">
        <v>9336</v>
      </c>
      <c r="E6" s="14"/>
      <c r="F6" s="14"/>
      <c r="G6" s="14"/>
      <c r="H6" s="14"/>
      <c r="I6" s="14"/>
      <c r="J6" s="29">
        <f t="shared" si="0"/>
        <v>9336</v>
      </c>
      <c r="K6" s="22"/>
    </row>
    <row r="7" spans="1:15" ht="24" customHeight="1" x14ac:dyDescent="0.35">
      <c r="A7" s="15">
        <v>5</v>
      </c>
      <c r="B7" s="44"/>
      <c r="C7" s="14"/>
      <c r="D7" s="14"/>
      <c r="E7" s="14"/>
      <c r="F7" s="14"/>
      <c r="G7" s="14"/>
      <c r="H7" s="14"/>
      <c r="I7" s="14"/>
      <c r="J7" s="29">
        <f t="shared" si="0"/>
        <v>0</v>
      </c>
      <c r="K7" s="22" t="s">
        <v>6</v>
      </c>
      <c r="N7" s="20"/>
    </row>
    <row r="8" spans="1:15" ht="24" customHeight="1" x14ac:dyDescent="0.35">
      <c r="A8" s="15">
        <v>6</v>
      </c>
      <c r="B8" s="46"/>
      <c r="C8" s="14">
        <v>4544</v>
      </c>
      <c r="D8" s="45">
        <v>9360</v>
      </c>
      <c r="E8" s="14"/>
      <c r="F8" s="14"/>
      <c r="G8" s="14"/>
      <c r="H8" s="14"/>
      <c r="I8" s="14"/>
      <c r="J8" s="29">
        <f t="shared" si="0"/>
        <v>13904</v>
      </c>
      <c r="K8" s="22"/>
    </row>
    <row r="9" spans="1:15" ht="24" customHeight="1" x14ac:dyDescent="0.35">
      <c r="A9" s="15">
        <v>7</v>
      </c>
      <c r="B9" s="14"/>
      <c r="C9" s="45"/>
      <c r="D9" s="14">
        <v>9420</v>
      </c>
      <c r="E9" s="14"/>
      <c r="F9" s="14"/>
      <c r="G9" s="14"/>
      <c r="H9" s="14"/>
      <c r="I9" s="14"/>
      <c r="J9" s="29">
        <f t="shared" si="0"/>
        <v>9420</v>
      </c>
      <c r="K9" s="22"/>
    </row>
    <row r="10" spans="1:15" ht="24" customHeight="1" x14ac:dyDescent="0.35">
      <c r="A10" s="15">
        <v>8</v>
      </c>
      <c r="B10" s="44"/>
      <c r="C10" s="46">
        <v>4752</v>
      </c>
      <c r="D10" s="14">
        <v>10272</v>
      </c>
      <c r="E10" s="14"/>
      <c r="F10" s="14"/>
      <c r="G10" s="14"/>
      <c r="H10" s="14"/>
      <c r="I10" s="14"/>
      <c r="J10" s="29">
        <f t="shared" si="0"/>
        <v>15024</v>
      </c>
      <c r="K10" s="22"/>
    </row>
    <row r="11" spans="1:15" ht="24" customHeight="1" x14ac:dyDescent="0.35">
      <c r="A11" s="16">
        <v>9</v>
      </c>
      <c r="B11" s="44"/>
      <c r="C11" s="46">
        <v>3168</v>
      </c>
      <c r="D11" s="14">
        <v>9264</v>
      </c>
      <c r="E11" s="14"/>
      <c r="F11" s="14"/>
      <c r="G11" s="14"/>
      <c r="H11" s="14"/>
      <c r="I11" s="14"/>
      <c r="J11" s="29">
        <f t="shared" si="0"/>
        <v>12432</v>
      </c>
      <c r="K11" s="24"/>
      <c r="O11" s="21"/>
    </row>
    <row r="12" spans="1:15" ht="24" customHeight="1" x14ac:dyDescent="0.35">
      <c r="A12" s="11">
        <v>10</v>
      </c>
      <c r="B12" s="14"/>
      <c r="C12" s="14">
        <v>2880</v>
      </c>
      <c r="D12" s="14">
        <v>9240</v>
      </c>
      <c r="E12" s="14"/>
      <c r="F12" s="14"/>
      <c r="G12" s="14"/>
      <c r="H12" s="14"/>
      <c r="I12" s="14"/>
      <c r="J12" s="29">
        <f t="shared" si="0"/>
        <v>12120</v>
      </c>
      <c r="K12" s="24"/>
    </row>
    <row r="13" spans="1:15" ht="24" customHeight="1" x14ac:dyDescent="0.35">
      <c r="A13" s="15">
        <v>11</v>
      </c>
      <c r="B13" s="14">
        <v>16874</v>
      </c>
      <c r="C13" s="14"/>
      <c r="D13" s="14"/>
      <c r="E13" s="14"/>
      <c r="F13" s="14"/>
      <c r="G13" s="14"/>
      <c r="H13" s="14"/>
      <c r="I13" s="14"/>
      <c r="J13" s="29">
        <f t="shared" si="0"/>
        <v>16874</v>
      </c>
      <c r="K13" s="25"/>
    </row>
    <row r="14" spans="1:15" ht="24" customHeight="1" x14ac:dyDescent="0.35">
      <c r="A14" s="16">
        <v>12</v>
      </c>
      <c r="B14" s="14"/>
      <c r="C14" s="14"/>
      <c r="D14" s="14"/>
      <c r="E14" s="14"/>
      <c r="F14" s="14"/>
      <c r="G14" s="14"/>
      <c r="H14" s="14"/>
      <c r="I14" s="14"/>
      <c r="J14" s="29">
        <f t="shared" si="0"/>
        <v>0</v>
      </c>
      <c r="K14" s="24" t="s">
        <v>6</v>
      </c>
    </row>
    <row r="15" spans="1:15" ht="24" customHeight="1" x14ac:dyDescent="0.35">
      <c r="A15" s="11">
        <v>13</v>
      </c>
      <c r="B15" s="14"/>
      <c r="C15" s="14"/>
      <c r="D15" s="14">
        <v>9216</v>
      </c>
      <c r="E15" s="14"/>
      <c r="F15" s="14"/>
      <c r="G15" s="14"/>
      <c r="H15" s="14"/>
      <c r="I15" s="14"/>
      <c r="J15" s="29">
        <f t="shared" si="0"/>
        <v>9216</v>
      </c>
      <c r="K15" s="24"/>
    </row>
    <row r="16" spans="1:15" ht="24.75" customHeight="1" x14ac:dyDescent="0.35">
      <c r="A16" s="15">
        <v>14</v>
      </c>
      <c r="B16" s="14"/>
      <c r="C16" s="14">
        <v>3888</v>
      </c>
      <c r="D16" s="14">
        <v>8220</v>
      </c>
      <c r="E16" s="14"/>
      <c r="F16" s="14"/>
      <c r="G16" s="14"/>
      <c r="H16" s="14"/>
      <c r="I16" s="14"/>
      <c r="J16" s="29">
        <f t="shared" si="0"/>
        <v>12108</v>
      </c>
      <c r="K16" s="40"/>
    </row>
    <row r="17" spans="1:14" ht="24" customHeight="1" x14ac:dyDescent="0.35">
      <c r="A17" s="15">
        <v>15</v>
      </c>
      <c r="B17" s="14"/>
      <c r="C17" s="14">
        <v>5040</v>
      </c>
      <c r="D17" s="14">
        <v>8232</v>
      </c>
      <c r="E17" s="14"/>
      <c r="F17" s="14"/>
      <c r="G17" s="14"/>
      <c r="H17" s="14"/>
      <c r="I17" s="14"/>
      <c r="J17" s="29">
        <f t="shared" si="0"/>
        <v>13272</v>
      </c>
      <c r="K17" s="24"/>
    </row>
    <row r="18" spans="1:14" ht="24" customHeight="1" x14ac:dyDescent="0.3">
      <c r="A18" s="15">
        <v>16</v>
      </c>
      <c r="B18" s="14"/>
      <c r="C18" s="14">
        <v>4688</v>
      </c>
      <c r="D18" s="14">
        <v>8268</v>
      </c>
      <c r="E18" s="14"/>
      <c r="F18" s="14"/>
      <c r="G18" s="14"/>
      <c r="H18" s="14"/>
      <c r="I18" s="14"/>
      <c r="J18" s="29">
        <f t="shared" si="0"/>
        <v>12956</v>
      </c>
      <c r="K18" s="39"/>
    </row>
    <row r="19" spans="1:14" ht="24" customHeight="1" x14ac:dyDescent="0.35">
      <c r="A19" s="15">
        <v>17</v>
      </c>
      <c r="B19" s="14"/>
      <c r="C19" s="14">
        <v>1664</v>
      </c>
      <c r="D19" s="14">
        <v>5952</v>
      </c>
      <c r="E19" s="14"/>
      <c r="F19" s="14"/>
      <c r="G19" s="14"/>
      <c r="H19" s="14"/>
      <c r="I19" s="14"/>
      <c r="J19" s="29">
        <f t="shared" si="0"/>
        <v>7616</v>
      </c>
      <c r="K19" s="24"/>
    </row>
    <row r="20" spans="1:14" ht="24" customHeight="1" x14ac:dyDescent="0.35">
      <c r="A20" s="16">
        <v>18</v>
      </c>
      <c r="B20" s="14">
        <v>15642</v>
      </c>
      <c r="C20" s="14"/>
      <c r="D20" s="14"/>
      <c r="E20" s="14"/>
      <c r="F20" s="14"/>
      <c r="G20" s="14"/>
      <c r="H20" s="14"/>
      <c r="I20" s="14"/>
      <c r="J20" s="29">
        <f t="shared" si="0"/>
        <v>15642</v>
      </c>
      <c r="K20" s="24"/>
    </row>
    <row r="21" spans="1:14" ht="24" customHeight="1" x14ac:dyDescent="0.35">
      <c r="A21" s="16">
        <v>19</v>
      </c>
      <c r="B21" s="14"/>
      <c r="C21" s="14"/>
      <c r="D21" s="14"/>
      <c r="E21" s="14"/>
      <c r="F21" s="14"/>
      <c r="G21" s="14"/>
      <c r="H21" s="14"/>
      <c r="I21" s="14"/>
      <c r="J21" s="29">
        <f t="shared" si="0"/>
        <v>0</v>
      </c>
      <c r="K21" s="26" t="s">
        <v>6</v>
      </c>
    </row>
    <row r="22" spans="1:14" ht="24" customHeight="1" x14ac:dyDescent="0.35">
      <c r="A22" s="11">
        <v>20</v>
      </c>
      <c r="B22" s="14"/>
      <c r="C22" s="14">
        <v>5088</v>
      </c>
      <c r="D22" s="14">
        <v>9324</v>
      </c>
      <c r="E22" s="14"/>
      <c r="F22" s="14"/>
      <c r="G22" s="14"/>
      <c r="H22" s="14"/>
      <c r="I22" s="14"/>
      <c r="J22" s="29">
        <f t="shared" si="0"/>
        <v>14412</v>
      </c>
      <c r="K22" s="25"/>
      <c r="N22" s="42"/>
    </row>
    <row r="23" spans="1:14" ht="24" customHeight="1" x14ac:dyDescent="0.35">
      <c r="A23" s="15">
        <v>21</v>
      </c>
      <c r="B23" s="14"/>
      <c r="C23" s="14">
        <v>4704</v>
      </c>
      <c r="D23" s="14">
        <v>9084</v>
      </c>
      <c r="E23" s="14"/>
      <c r="F23" s="14"/>
      <c r="G23" s="14"/>
      <c r="H23" s="14"/>
      <c r="I23" s="14"/>
      <c r="J23" s="29">
        <f t="shared" si="0"/>
        <v>13788</v>
      </c>
      <c r="K23" s="24"/>
    </row>
    <row r="24" spans="1:14" ht="24" customHeight="1" x14ac:dyDescent="0.35">
      <c r="A24" s="16">
        <v>22</v>
      </c>
      <c r="B24" s="14"/>
      <c r="C24" s="14">
        <v>5040</v>
      </c>
      <c r="D24" s="14">
        <v>9180</v>
      </c>
      <c r="E24" s="14"/>
      <c r="F24" s="14"/>
      <c r="G24" s="14"/>
      <c r="H24" s="14"/>
      <c r="I24" s="14"/>
      <c r="J24" s="29">
        <f t="shared" si="0"/>
        <v>14220</v>
      </c>
      <c r="K24" s="43"/>
    </row>
    <row r="25" spans="1:14" ht="26.25" customHeight="1" x14ac:dyDescent="0.3">
      <c r="A25" s="18">
        <v>23</v>
      </c>
      <c r="B25" s="14"/>
      <c r="C25" s="14">
        <v>4160</v>
      </c>
      <c r="D25" s="14">
        <v>6660</v>
      </c>
      <c r="E25" s="14"/>
      <c r="F25" s="14"/>
      <c r="G25" s="14"/>
      <c r="H25" s="14"/>
      <c r="I25" s="14"/>
      <c r="J25" s="29">
        <f t="shared" si="0"/>
        <v>10820</v>
      </c>
      <c r="K25" s="41"/>
    </row>
    <row r="26" spans="1:14" ht="24" customHeight="1" x14ac:dyDescent="0.35">
      <c r="A26" s="18">
        <v>24</v>
      </c>
      <c r="B26" s="14"/>
      <c r="C26" s="14">
        <v>4400</v>
      </c>
      <c r="D26" s="14">
        <v>8040</v>
      </c>
      <c r="E26" s="14"/>
      <c r="F26" s="14"/>
      <c r="G26" s="14"/>
      <c r="H26" s="14"/>
      <c r="I26" s="14"/>
      <c r="J26" s="29">
        <f t="shared" si="0"/>
        <v>12440</v>
      </c>
      <c r="K26" s="26"/>
    </row>
    <row r="27" spans="1:14" ht="24" customHeight="1" x14ac:dyDescent="0.35">
      <c r="A27" s="18">
        <v>25</v>
      </c>
      <c r="B27" s="14"/>
      <c r="C27" s="14"/>
      <c r="D27" s="14">
        <v>9408</v>
      </c>
      <c r="E27" s="14"/>
      <c r="F27" s="14"/>
      <c r="G27" s="14"/>
      <c r="H27" s="14"/>
      <c r="I27" s="14"/>
      <c r="J27" s="29">
        <f t="shared" si="0"/>
        <v>9408</v>
      </c>
      <c r="K27" s="26"/>
    </row>
    <row r="28" spans="1:14" ht="24" customHeight="1" x14ac:dyDescent="0.35">
      <c r="A28" s="18">
        <v>26</v>
      </c>
      <c r="B28" s="14"/>
      <c r="C28" s="14"/>
      <c r="D28" s="14"/>
      <c r="E28" s="14"/>
      <c r="F28" s="14"/>
      <c r="G28" s="14"/>
      <c r="H28" s="14"/>
      <c r="I28" s="14"/>
      <c r="J28" s="29">
        <f t="shared" si="0"/>
        <v>0</v>
      </c>
      <c r="K28" s="25" t="s">
        <v>6</v>
      </c>
    </row>
    <row r="29" spans="1:14" ht="24" customHeight="1" x14ac:dyDescent="0.35">
      <c r="A29" s="18">
        <v>27</v>
      </c>
      <c r="B29" s="14"/>
      <c r="C29" s="14">
        <v>4784</v>
      </c>
      <c r="D29" s="14">
        <v>7488</v>
      </c>
      <c r="E29" s="14"/>
      <c r="F29" s="14"/>
      <c r="G29" s="14"/>
      <c r="H29" s="14"/>
      <c r="I29" s="14"/>
      <c r="J29" s="29">
        <f t="shared" si="0"/>
        <v>12272</v>
      </c>
      <c r="K29" s="24"/>
    </row>
    <row r="30" spans="1:14" ht="24" customHeight="1" x14ac:dyDescent="0.35">
      <c r="A30" s="11">
        <v>28</v>
      </c>
      <c r="B30" s="14"/>
      <c r="C30" s="14"/>
      <c r="D30" s="14">
        <v>9300</v>
      </c>
      <c r="E30" s="14"/>
      <c r="F30" s="14"/>
      <c r="G30" s="14"/>
      <c r="H30" s="14"/>
      <c r="I30" s="14"/>
      <c r="J30" s="29">
        <f t="shared" si="0"/>
        <v>9300</v>
      </c>
      <c r="K30" s="25"/>
    </row>
    <row r="31" spans="1:14" ht="24" customHeight="1" x14ac:dyDescent="0.35">
      <c r="A31" s="16">
        <v>29</v>
      </c>
      <c r="B31" s="14"/>
      <c r="C31" s="14">
        <v>4912</v>
      </c>
      <c r="D31" s="14">
        <v>8400</v>
      </c>
      <c r="E31" s="14"/>
      <c r="F31" s="14"/>
      <c r="G31" s="14"/>
      <c r="H31" s="14"/>
      <c r="I31" s="14"/>
      <c r="J31" s="29">
        <f t="shared" si="0"/>
        <v>13312</v>
      </c>
      <c r="K31" s="24"/>
    </row>
    <row r="32" spans="1:14" ht="24" customHeight="1" x14ac:dyDescent="0.35">
      <c r="A32" s="11">
        <v>30</v>
      </c>
      <c r="B32" s="14"/>
      <c r="C32" s="14">
        <v>4832</v>
      </c>
      <c r="D32" s="14">
        <v>9060</v>
      </c>
      <c r="E32" s="14"/>
      <c r="F32" s="14"/>
      <c r="G32" s="14"/>
      <c r="H32" s="14"/>
      <c r="I32" s="14"/>
      <c r="J32" s="29">
        <f t="shared" si="0"/>
        <v>13892</v>
      </c>
      <c r="K32" s="24"/>
    </row>
    <row r="33" spans="1:12" ht="24" customHeight="1" thickBot="1" x14ac:dyDescent="0.4">
      <c r="A33" s="17">
        <v>31</v>
      </c>
      <c r="B33" s="19"/>
      <c r="C33" s="2"/>
      <c r="D33" s="19"/>
      <c r="E33" s="19"/>
      <c r="F33" s="19"/>
      <c r="G33" s="19"/>
      <c r="H33" s="19"/>
      <c r="I33" s="2"/>
      <c r="J33" s="29">
        <f t="shared" si="0"/>
        <v>0</v>
      </c>
      <c r="K33" s="27"/>
    </row>
    <row r="34" spans="1:12" ht="24" customHeight="1" thickTop="1" thickBot="1" x14ac:dyDescent="0.35">
      <c r="A34" s="8"/>
      <c r="B34" s="8">
        <f t="shared" ref="B34:H34" si="1">SUM(B3:B33)</f>
        <v>32516</v>
      </c>
      <c r="C34" s="8">
        <f t="shared" si="1"/>
        <v>74064</v>
      </c>
      <c r="D34" s="8">
        <f t="shared" si="1"/>
        <v>210084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>SUM(I3:I33)</f>
        <v>0</v>
      </c>
      <c r="J34" s="29">
        <f t="shared" si="0"/>
        <v>316664</v>
      </c>
      <c r="K34" s="9"/>
    </row>
    <row r="35" spans="1:12" ht="24" customHeight="1" thickTop="1" thickBot="1" x14ac:dyDescent="0.35">
      <c r="A35" s="8"/>
      <c r="B35" s="8">
        <f>B34*1.9</f>
        <v>61780.399999999994</v>
      </c>
      <c r="C35" s="32">
        <f>C34*1.95</f>
        <v>144424.79999999999</v>
      </c>
      <c r="D35" s="33">
        <f>D34*2</f>
        <v>420168</v>
      </c>
      <c r="E35" s="32">
        <f>E34*2.2</f>
        <v>0</v>
      </c>
      <c r="F35" s="32">
        <f>F34*4.2</f>
        <v>0</v>
      </c>
      <c r="G35" s="33">
        <f>G34*2.7</f>
        <v>0</v>
      </c>
      <c r="H35" s="32">
        <f>H34*4</f>
        <v>0</v>
      </c>
      <c r="I35" s="32">
        <f>I34*5.2</f>
        <v>0</v>
      </c>
      <c r="J35" s="29">
        <f t="shared" si="0"/>
        <v>626373.19999999995</v>
      </c>
      <c r="K35" s="9">
        <f>J35/J34</f>
        <v>1.9780372887350628</v>
      </c>
      <c r="L35" s="31"/>
    </row>
    <row r="36" spans="1:12" ht="19.5" thickTop="1" x14ac:dyDescent="0.3">
      <c r="A36" s="30"/>
      <c r="B36" s="2"/>
      <c r="C36" s="2"/>
      <c r="D36" s="2"/>
      <c r="E36" s="2"/>
      <c r="F36" s="2"/>
      <c r="G36" s="2"/>
      <c r="H36" s="2"/>
      <c r="I36" s="2"/>
      <c r="J36" s="28"/>
    </row>
    <row r="37" spans="1:12" ht="18.7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8.75" x14ac:dyDescent="0.3">
      <c r="A38" s="14"/>
      <c r="B38" s="14" t="s">
        <v>8</v>
      </c>
      <c r="C38" s="14"/>
      <c r="D38" s="14" t="s">
        <v>9</v>
      </c>
      <c r="E38" s="14" t="s">
        <v>10</v>
      </c>
      <c r="F38" s="14" t="s">
        <v>11</v>
      </c>
      <c r="G38" s="14" t="s">
        <v>12</v>
      </c>
      <c r="H38" s="14" t="s">
        <v>13</v>
      </c>
      <c r="I38" s="14" t="s">
        <v>15</v>
      </c>
      <c r="J38" s="35" t="s">
        <v>16</v>
      </c>
      <c r="K38" s="34"/>
    </row>
    <row r="39" spans="1:12" ht="18.75" x14ac:dyDescent="0.3">
      <c r="A39" s="14"/>
      <c r="B39" s="14" t="s">
        <v>14</v>
      </c>
      <c r="C39" s="14"/>
      <c r="D39" s="14">
        <f>F34</f>
        <v>0</v>
      </c>
      <c r="E39" s="14">
        <f>D39*2.17/1000</f>
        <v>0</v>
      </c>
      <c r="F39" s="14">
        <f>D39*13.33/1000</f>
        <v>0</v>
      </c>
      <c r="G39" s="14">
        <f>D39*5.83/1000</f>
        <v>0</v>
      </c>
      <c r="H39" s="14">
        <f>G39+F39+E39</f>
        <v>0</v>
      </c>
      <c r="I39" s="14">
        <f>D39/62.5</f>
        <v>0</v>
      </c>
      <c r="J39" s="14">
        <f>IFERROR(F35/I39,0)</f>
        <v>0</v>
      </c>
    </row>
    <row r="40" spans="1:12" ht="18.75" x14ac:dyDescent="0.3">
      <c r="A40" s="14"/>
      <c r="B40" s="14" t="s">
        <v>17</v>
      </c>
      <c r="C40" s="14"/>
      <c r="D40" s="14">
        <f>I34</f>
        <v>0</v>
      </c>
      <c r="E40" s="14">
        <f>D40*3.25/1000</f>
        <v>0</v>
      </c>
      <c r="F40" s="14">
        <f>D40*1.5*4.55/1000</f>
        <v>0</v>
      </c>
      <c r="G40" s="14">
        <f>D40*1.5*12.12/1000</f>
        <v>0</v>
      </c>
      <c r="H40" s="14">
        <f>G40+F40+E40</f>
        <v>0</v>
      </c>
      <c r="I40" s="14">
        <f>D40/41.625</f>
        <v>0</v>
      </c>
      <c r="J40" s="14">
        <f>IFERROR(F36/I40,0)</f>
        <v>0</v>
      </c>
    </row>
    <row r="41" spans="1:12" ht="18.75" x14ac:dyDescent="0.3">
      <c r="A41" s="14"/>
      <c r="B41" s="14" t="s">
        <v>18</v>
      </c>
      <c r="C41" s="14"/>
      <c r="D41" s="14">
        <f>B34</f>
        <v>32516</v>
      </c>
      <c r="E41" s="14">
        <f>D41*1.274/1000</f>
        <v>41.425384000000001</v>
      </c>
      <c r="F41" s="14">
        <f>D41*7.27/1000</f>
        <v>236.39131999999998</v>
      </c>
      <c r="G41" s="14">
        <f>D41*3.18/1000</f>
        <v>103.40088</v>
      </c>
      <c r="H41" s="14">
        <f>G41+F41+E41</f>
        <v>381.21758399999999</v>
      </c>
      <c r="I41" s="14">
        <f>D41/125</f>
        <v>260.12799999999999</v>
      </c>
      <c r="J41" s="14">
        <f t="shared" ref="J41:J46" si="2">IFERROR(F37/I41,0)</f>
        <v>0</v>
      </c>
    </row>
    <row r="42" spans="1:12" ht="18.75" x14ac:dyDescent="0.3">
      <c r="A42" s="14"/>
      <c r="B42" s="14" t="s">
        <v>19</v>
      </c>
      <c r="C42" s="14"/>
      <c r="D42" s="14">
        <f>C34</f>
        <v>74064</v>
      </c>
      <c r="E42" s="14">
        <f>D42*1.89/1000</f>
        <v>139.98095999999998</v>
      </c>
      <c r="F42" s="14">
        <f>D42*10/1000</f>
        <v>740.64</v>
      </c>
      <c r="G42" s="14">
        <f>D42*4.4/1000</f>
        <v>325.88160000000005</v>
      </c>
      <c r="H42" s="14">
        <f t="shared" ref="H42:H44" si="3">G42+F42+E42</f>
        <v>1206.5025599999999</v>
      </c>
      <c r="I42" s="14">
        <f>D42/83.33</f>
        <v>888.80355214208566</v>
      </c>
      <c r="J42" s="14">
        <f t="shared" si="2"/>
        <v>0</v>
      </c>
    </row>
    <row r="43" spans="1:12" ht="18.75" x14ac:dyDescent="0.3">
      <c r="A43" s="14"/>
      <c r="B43" s="14" t="s">
        <v>20</v>
      </c>
      <c r="C43" s="14"/>
      <c r="D43" s="14">
        <f>D34</f>
        <v>210084</v>
      </c>
      <c r="E43" s="14">
        <f>D43*2.072/1000</f>
        <v>435.29404800000003</v>
      </c>
      <c r="F43" s="14">
        <f>D43*11.11/1000</f>
        <v>2334.0332399999998</v>
      </c>
      <c r="G43" s="14">
        <f>D43*4.86/1000</f>
        <v>1021.0082400000001</v>
      </c>
      <c r="H43" s="14">
        <f t="shared" si="3"/>
        <v>3790.3355280000001</v>
      </c>
      <c r="I43" s="14">
        <f t="shared" ref="I43:I44" si="4">D43/62.5</f>
        <v>3361.3440000000001</v>
      </c>
      <c r="J43" s="14">
        <f t="shared" si="2"/>
        <v>0</v>
      </c>
    </row>
    <row r="44" spans="1:12" ht="18.75" x14ac:dyDescent="0.3">
      <c r="A44" s="14"/>
      <c r="B44" s="37" t="s">
        <v>21</v>
      </c>
      <c r="C44" s="14"/>
      <c r="D44" s="14">
        <f>E34</f>
        <v>0</v>
      </c>
      <c r="E44" s="14">
        <f>D44*2.18/1000</f>
        <v>0</v>
      </c>
      <c r="F44" s="14">
        <f>D44*1.5*4.17/1000</f>
        <v>0</v>
      </c>
      <c r="G44" s="14">
        <f>D44*11.11/1000</f>
        <v>0</v>
      </c>
      <c r="H44" s="14">
        <f t="shared" si="3"/>
        <v>0</v>
      </c>
      <c r="I44" s="14">
        <f t="shared" si="4"/>
        <v>0</v>
      </c>
      <c r="J44" s="14">
        <f t="shared" si="2"/>
        <v>0</v>
      </c>
    </row>
    <row r="45" spans="1:12" ht="18.75" x14ac:dyDescent="0.3">
      <c r="A45" s="14"/>
      <c r="B45" s="36" t="s">
        <v>22</v>
      </c>
      <c r="C45" s="14"/>
      <c r="D45" s="14">
        <f>G34</f>
        <v>0</v>
      </c>
      <c r="E45" s="14">
        <f>D45*1.98/1000</f>
        <v>0</v>
      </c>
      <c r="F45" s="14"/>
      <c r="G45" s="14"/>
      <c r="H45" s="14"/>
      <c r="I45" s="14"/>
      <c r="J45" s="14">
        <f t="shared" si="2"/>
        <v>0</v>
      </c>
    </row>
    <row r="46" spans="1:12" ht="18.75" x14ac:dyDescent="0.3">
      <c r="A46" s="14"/>
      <c r="B46" s="14" t="s">
        <v>7</v>
      </c>
      <c r="C46" s="14"/>
      <c r="D46" s="14">
        <f>H34</f>
        <v>0</v>
      </c>
      <c r="E46" s="14">
        <f>D46*1.5*1.9/1000</f>
        <v>0</v>
      </c>
      <c r="F46" s="14"/>
      <c r="G46" s="14"/>
      <c r="H46" s="14"/>
      <c r="I46" s="14"/>
      <c r="J46" s="14">
        <f t="shared" si="2"/>
        <v>0</v>
      </c>
    </row>
    <row r="47" spans="1:12" ht="18.75" x14ac:dyDescent="0.3">
      <c r="A47" s="14"/>
      <c r="B47" s="14"/>
      <c r="C47" s="14"/>
      <c r="D47" s="14"/>
      <c r="E47" s="14">
        <f>SUM(E39:E46)</f>
        <v>616.70039199999997</v>
      </c>
      <c r="F47" s="14">
        <f>SUM(F39:F46)</f>
        <v>3311.0645599999998</v>
      </c>
      <c r="G47" s="14">
        <f>SUM(G39:G46)</f>
        <v>1450.2907200000002</v>
      </c>
      <c r="H47" s="14"/>
      <c r="I47" s="14">
        <f>SUM(I39:I46)</f>
        <v>4510.2755521420859</v>
      </c>
      <c r="J47" s="14"/>
    </row>
    <row r="48" spans="1:12" ht="18.7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7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75" x14ac:dyDescent="0.3">
      <c r="A51" s="2"/>
      <c r="B51" s="14" t="s">
        <v>29</v>
      </c>
      <c r="C51" s="37" t="s">
        <v>24</v>
      </c>
      <c r="D51" s="35" t="s">
        <v>25</v>
      </c>
      <c r="E51" s="35" t="s">
        <v>28</v>
      </c>
      <c r="F51" s="35" t="s">
        <v>26</v>
      </c>
      <c r="G51" s="14" t="s">
        <v>28</v>
      </c>
      <c r="H51" s="14" t="s">
        <v>27</v>
      </c>
      <c r="I51" s="14" t="s">
        <v>28</v>
      </c>
      <c r="J51" s="2"/>
    </row>
    <row r="52" spans="1:10" ht="18.75" x14ac:dyDescent="0.3">
      <c r="A52" s="2"/>
      <c r="B52" s="14" t="s">
        <v>23</v>
      </c>
      <c r="C52" s="14">
        <f>D41+D42+D43+D44+D45+D46</f>
        <v>316664</v>
      </c>
      <c r="D52" s="14">
        <f>E41+E42+E43+E44+E45+E46</f>
        <v>616.70039199999997</v>
      </c>
      <c r="E52" s="14">
        <f>D52*240</f>
        <v>148008.09407999998</v>
      </c>
      <c r="F52" s="14">
        <f>F41+F42+F43+F44</f>
        <v>3311.0645599999998</v>
      </c>
      <c r="G52" s="14">
        <f>F52*50</f>
        <v>165553.228</v>
      </c>
      <c r="H52" s="14">
        <f>G41+G42+G43+G44+G45+G46</f>
        <v>1450.2907200000002</v>
      </c>
      <c r="I52" s="14">
        <f>H52*3</f>
        <v>4350.8721600000008</v>
      </c>
      <c r="J52" s="2"/>
    </row>
    <row r="53" spans="1:10" ht="18.75" x14ac:dyDescent="0.3">
      <c r="A53" s="2"/>
      <c r="B53" s="14" t="s">
        <v>14</v>
      </c>
      <c r="C53" s="14">
        <f>D39+D40</f>
        <v>0</v>
      </c>
      <c r="D53" s="14">
        <f>E39+E40</f>
        <v>0</v>
      </c>
      <c r="E53" s="14">
        <f>D53*240</f>
        <v>0</v>
      </c>
      <c r="F53" s="14">
        <f>F39+F40</f>
        <v>0</v>
      </c>
      <c r="G53" s="14">
        <f>F53*54</f>
        <v>0</v>
      </c>
      <c r="H53" s="14">
        <f>G39+G40</f>
        <v>0</v>
      </c>
      <c r="I53" s="14">
        <f>H53*3</f>
        <v>0</v>
      </c>
      <c r="J53" s="2"/>
    </row>
    <row r="54" spans="1:10" ht="18.7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"/>
      <c r="B55" s="38"/>
      <c r="C55" s="38"/>
      <c r="D55" s="38"/>
      <c r="E55" s="1"/>
      <c r="F55" s="1"/>
      <c r="G55" s="1"/>
      <c r="H55" s="1"/>
      <c r="I55" s="1"/>
      <c r="J55" s="1"/>
    </row>
    <row r="56" spans="1:10" x14ac:dyDescent="0.25">
      <c r="B56" s="20"/>
      <c r="C56" s="20"/>
      <c r="D56" s="20"/>
    </row>
    <row r="57" spans="1:10" x14ac:dyDescent="0.25">
      <c r="B57" s="20"/>
      <c r="C57" s="20"/>
      <c r="D57" s="20"/>
    </row>
  </sheetData>
  <mergeCells count="2">
    <mergeCell ref="A1:F1"/>
    <mergeCell ref="H1:K1"/>
  </mergeCells>
  <pageMargins left="0.23622047244094491" right="0.15748031496062992" top="0.19685039370078741" bottom="0.19685039370078741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pane ySplit="2" topLeftCell="A3" activePane="bottomLeft" state="frozen"/>
      <selection pane="bottomLeft" activeCell="E41" sqref="E41"/>
    </sheetView>
  </sheetViews>
  <sheetFormatPr defaultRowHeight="15" x14ac:dyDescent="0.25"/>
  <cols>
    <col min="1" max="1" width="6.42578125" customWidth="1"/>
    <col min="2" max="3" width="8.85546875" customWidth="1"/>
    <col min="4" max="4" width="9.42578125" bestFit="1" customWidth="1"/>
    <col min="5" max="5" width="9.7109375" customWidth="1"/>
    <col min="6" max="6" width="9.42578125" bestFit="1" customWidth="1"/>
    <col min="7" max="8" width="8.85546875" customWidth="1"/>
    <col min="9" max="9" width="9.28515625" customWidth="1"/>
    <col min="10" max="10" width="10.140625" bestFit="1" customWidth="1"/>
    <col min="11" max="11" width="10" customWidth="1"/>
  </cols>
  <sheetData>
    <row r="1" spans="1:15" ht="24" thickBot="1" x14ac:dyDescent="0.4">
      <c r="A1" s="98" t="s">
        <v>30</v>
      </c>
      <c r="B1" s="98"/>
      <c r="C1" s="98"/>
      <c r="D1" s="98"/>
      <c r="E1" s="98"/>
      <c r="F1" s="98"/>
      <c r="H1" s="99" t="s">
        <v>81</v>
      </c>
      <c r="I1" s="99"/>
      <c r="J1" s="99"/>
      <c r="K1" s="99"/>
    </row>
    <row r="2" spans="1:15" ht="18.75" customHeight="1" thickTop="1" thickBot="1" x14ac:dyDescent="0.3">
      <c r="A2" s="3" t="s">
        <v>71</v>
      </c>
      <c r="B2" s="6" t="s">
        <v>33</v>
      </c>
      <c r="C2" s="6" t="s">
        <v>93</v>
      </c>
      <c r="D2" s="6" t="s">
        <v>91</v>
      </c>
      <c r="E2" s="6" t="s">
        <v>1</v>
      </c>
      <c r="F2" s="7" t="s">
        <v>0</v>
      </c>
      <c r="G2" s="6" t="s">
        <v>2</v>
      </c>
      <c r="H2" s="7" t="s">
        <v>7</v>
      </c>
      <c r="I2" s="5" t="s">
        <v>3</v>
      </c>
      <c r="J2" s="4" t="s">
        <v>4</v>
      </c>
      <c r="K2" s="6" t="s">
        <v>5</v>
      </c>
    </row>
    <row r="3" spans="1:15" ht="24" customHeight="1" thickTop="1" x14ac:dyDescent="0.35">
      <c r="A3" s="10">
        <v>1</v>
      </c>
      <c r="B3" s="12"/>
      <c r="C3" s="2">
        <v>4336</v>
      </c>
      <c r="D3" s="13">
        <v>8100</v>
      </c>
      <c r="E3" s="12"/>
      <c r="F3" s="2"/>
      <c r="G3" s="13"/>
      <c r="H3" s="12"/>
      <c r="I3" s="2"/>
      <c r="J3" s="29">
        <f>SUM(B3:I3)</f>
        <v>12436</v>
      </c>
      <c r="K3" s="23"/>
    </row>
    <row r="4" spans="1:15" ht="24" customHeight="1" x14ac:dyDescent="0.35">
      <c r="A4" s="15">
        <v>2</v>
      </c>
      <c r="B4" s="14">
        <v>15026</v>
      </c>
      <c r="C4" s="14"/>
      <c r="D4" s="14"/>
      <c r="E4" s="14"/>
      <c r="F4" s="14"/>
      <c r="G4" s="14"/>
      <c r="H4" s="14"/>
      <c r="I4" s="14"/>
      <c r="J4" s="29">
        <f t="shared" ref="J4:J35" si="0">SUM(B4:I4)</f>
        <v>15026</v>
      </c>
      <c r="K4" s="24"/>
    </row>
    <row r="5" spans="1:15" ht="24" customHeight="1" x14ac:dyDescent="0.35">
      <c r="A5" s="15">
        <v>3</v>
      </c>
      <c r="B5" s="14"/>
      <c r="C5" s="14"/>
      <c r="D5" s="14"/>
      <c r="E5" s="14"/>
      <c r="F5" s="14"/>
      <c r="G5" s="14"/>
      <c r="H5" s="14"/>
      <c r="I5" s="14"/>
      <c r="J5" s="29">
        <f t="shared" si="0"/>
        <v>0</v>
      </c>
      <c r="K5" s="25" t="s">
        <v>6</v>
      </c>
    </row>
    <row r="6" spans="1:15" ht="24" customHeight="1" x14ac:dyDescent="0.35">
      <c r="A6" s="15">
        <v>4</v>
      </c>
      <c r="B6" s="14"/>
      <c r="C6" s="14"/>
      <c r="D6" s="14">
        <v>9240</v>
      </c>
      <c r="E6" s="14"/>
      <c r="F6" s="14"/>
      <c r="G6" s="14"/>
      <c r="H6" s="14"/>
      <c r="I6" s="14"/>
      <c r="J6" s="29">
        <f t="shared" si="0"/>
        <v>9240</v>
      </c>
      <c r="K6" s="22"/>
    </row>
    <row r="7" spans="1:15" ht="24" customHeight="1" x14ac:dyDescent="0.35">
      <c r="A7" s="15">
        <v>5</v>
      </c>
      <c r="B7" s="44"/>
      <c r="C7" s="14">
        <v>4352</v>
      </c>
      <c r="D7" s="14">
        <v>9072</v>
      </c>
      <c r="E7" s="14"/>
      <c r="F7" s="14"/>
      <c r="G7" s="14"/>
      <c r="H7" s="14"/>
      <c r="I7" s="14"/>
      <c r="J7" s="29">
        <f t="shared" si="0"/>
        <v>13424</v>
      </c>
      <c r="K7" s="22"/>
      <c r="N7" s="20"/>
    </row>
    <row r="8" spans="1:15" ht="24" customHeight="1" x14ac:dyDescent="0.35">
      <c r="A8" s="15">
        <v>6</v>
      </c>
      <c r="B8" s="46"/>
      <c r="C8" s="14">
        <v>4560</v>
      </c>
      <c r="D8" s="45">
        <v>8328</v>
      </c>
      <c r="E8" s="14"/>
      <c r="F8" s="14"/>
      <c r="G8" s="14"/>
      <c r="H8" s="14"/>
      <c r="I8" s="14"/>
      <c r="J8" s="29">
        <f t="shared" si="0"/>
        <v>12888</v>
      </c>
      <c r="K8" s="22"/>
    </row>
    <row r="9" spans="1:15" ht="24" customHeight="1" x14ac:dyDescent="0.35">
      <c r="A9" s="15">
        <v>7</v>
      </c>
      <c r="B9" s="14"/>
      <c r="C9" s="45">
        <v>2720</v>
      </c>
      <c r="D9" s="14">
        <v>7260</v>
      </c>
      <c r="E9" s="14"/>
      <c r="F9" s="14"/>
      <c r="G9" s="14"/>
      <c r="H9" s="14"/>
      <c r="I9" s="14"/>
      <c r="J9" s="29">
        <f t="shared" si="0"/>
        <v>9980</v>
      </c>
      <c r="K9" s="22"/>
    </row>
    <row r="10" spans="1:15" ht="24" customHeight="1" x14ac:dyDescent="0.35">
      <c r="A10" s="15">
        <v>8</v>
      </c>
      <c r="B10" s="44"/>
      <c r="C10" s="46"/>
      <c r="D10" s="14">
        <v>7920</v>
      </c>
      <c r="E10" s="14"/>
      <c r="F10" s="14"/>
      <c r="G10" s="14"/>
      <c r="H10" s="14"/>
      <c r="I10" s="14"/>
      <c r="J10" s="29">
        <f t="shared" si="0"/>
        <v>7920</v>
      </c>
      <c r="K10" s="22"/>
    </row>
    <row r="11" spans="1:15" ht="24" customHeight="1" x14ac:dyDescent="0.35">
      <c r="A11" s="16">
        <v>9</v>
      </c>
      <c r="B11" s="44"/>
      <c r="C11" s="46"/>
      <c r="D11" s="14"/>
      <c r="E11" s="14"/>
      <c r="F11" s="14">
        <v>5664</v>
      </c>
      <c r="G11" s="14"/>
      <c r="H11" s="14"/>
      <c r="I11" s="14"/>
      <c r="J11" s="29">
        <f t="shared" si="0"/>
        <v>5664</v>
      </c>
      <c r="K11" s="24"/>
      <c r="O11" s="21"/>
    </row>
    <row r="12" spans="1:15" ht="24" customHeight="1" x14ac:dyDescent="0.35">
      <c r="A12" s="11">
        <v>10</v>
      </c>
      <c r="B12" s="14"/>
      <c r="C12" s="14"/>
      <c r="D12" s="14"/>
      <c r="E12" s="14"/>
      <c r="F12" s="14"/>
      <c r="G12" s="14"/>
      <c r="H12" s="14"/>
      <c r="I12" s="14"/>
      <c r="J12" s="29">
        <f t="shared" si="0"/>
        <v>0</v>
      </c>
      <c r="K12" s="24" t="s">
        <v>6</v>
      </c>
    </row>
    <row r="13" spans="1:15" ht="24" customHeight="1" x14ac:dyDescent="0.35">
      <c r="A13" s="15">
        <v>11</v>
      </c>
      <c r="B13" s="14"/>
      <c r="C13" s="14">
        <v>4032</v>
      </c>
      <c r="D13" s="14">
        <v>9120</v>
      </c>
      <c r="E13" s="14"/>
      <c r="F13" s="14"/>
      <c r="G13" s="14"/>
      <c r="H13" s="14"/>
      <c r="I13" s="14"/>
      <c r="J13" s="29">
        <f t="shared" si="0"/>
        <v>13152</v>
      </c>
      <c r="K13" s="25"/>
    </row>
    <row r="14" spans="1:15" ht="24" customHeight="1" x14ac:dyDescent="0.35">
      <c r="A14" s="16">
        <v>12</v>
      </c>
      <c r="B14" s="14"/>
      <c r="C14" s="14">
        <v>3712</v>
      </c>
      <c r="D14" s="14">
        <v>8100</v>
      </c>
      <c r="E14" s="14"/>
      <c r="F14" s="14"/>
      <c r="G14" s="14"/>
      <c r="H14" s="14"/>
      <c r="I14" s="14"/>
      <c r="J14" s="29">
        <f t="shared" si="0"/>
        <v>11812</v>
      </c>
      <c r="K14" s="24"/>
    </row>
    <row r="15" spans="1:15" ht="24" customHeight="1" x14ac:dyDescent="0.35">
      <c r="A15" s="11">
        <v>13</v>
      </c>
      <c r="B15" s="14"/>
      <c r="C15" s="14"/>
      <c r="D15" s="14">
        <v>9240</v>
      </c>
      <c r="E15" s="14"/>
      <c r="F15" s="14"/>
      <c r="G15" s="14"/>
      <c r="H15" s="14"/>
      <c r="I15" s="14"/>
      <c r="J15" s="29">
        <f t="shared" si="0"/>
        <v>9240</v>
      </c>
      <c r="K15" s="24"/>
    </row>
    <row r="16" spans="1:15" ht="24.75" customHeight="1" x14ac:dyDescent="0.35">
      <c r="A16" s="15">
        <v>14</v>
      </c>
      <c r="B16" s="14"/>
      <c r="C16" s="14">
        <v>2880</v>
      </c>
      <c r="D16" s="14">
        <v>9048</v>
      </c>
      <c r="E16" s="14"/>
      <c r="F16" s="14"/>
      <c r="G16" s="14"/>
      <c r="H16" s="14"/>
      <c r="I16" s="14"/>
      <c r="J16" s="29">
        <f t="shared" si="0"/>
        <v>11928</v>
      </c>
      <c r="K16" s="40"/>
    </row>
    <row r="17" spans="1:14" ht="24" customHeight="1" x14ac:dyDescent="0.35">
      <c r="A17" s="15">
        <v>15</v>
      </c>
      <c r="B17" s="14"/>
      <c r="C17" s="14">
        <v>3264</v>
      </c>
      <c r="D17" s="14">
        <v>7980</v>
      </c>
      <c r="E17" s="14"/>
      <c r="F17" s="14"/>
      <c r="G17" s="14"/>
      <c r="H17" s="14"/>
      <c r="I17" s="14"/>
      <c r="J17" s="29">
        <f t="shared" si="0"/>
        <v>11244</v>
      </c>
      <c r="K17" s="24"/>
    </row>
    <row r="18" spans="1:14" ht="24" customHeight="1" x14ac:dyDescent="0.3">
      <c r="A18" s="15">
        <v>16</v>
      </c>
      <c r="B18" s="14"/>
      <c r="C18" s="14"/>
      <c r="D18" s="14"/>
      <c r="E18" s="14"/>
      <c r="F18" s="14">
        <v>4248</v>
      </c>
      <c r="G18" s="14"/>
      <c r="H18" s="14"/>
      <c r="I18" s="14"/>
      <c r="J18" s="29">
        <f t="shared" si="0"/>
        <v>4248</v>
      </c>
      <c r="K18" s="39"/>
    </row>
    <row r="19" spans="1:14" ht="24" customHeight="1" x14ac:dyDescent="0.35">
      <c r="A19" s="15">
        <v>17</v>
      </c>
      <c r="B19" s="14"/>
      <c r="C19" s="14"/>
      <c r="D19" s="14"/>
      <c r="E19" s="14"/>
      <c r="F19" s="14"/>
      <c r="G19" s="14"/>
      <c r="H19" s="14"/>
      <c r="I19" s="14"/>
      <c r="J19" s="29">
        <f t="shared" si="0"/>
        <v>0</v>
      </c>
      <c r="K19" s="24" t="s">
        <v>6</v>
      </c>
    </row>
    <row r="20" spans="1:14" ht="24" customHeight="1" x14ac:dyDescent="0.35">
      <c r="A20" s="16">
        <v>18</v>
      </c>
      <c r="B20" s="14"/>
      <c r="C20" s="14">
        <v>3968</v>
      </c>
      <c r="D20" s="14">
        <v>8124</v>
      </c>
      <c r="E20" s="14"/>
      <c r="F20" s="14"/>
      <c r="G20" s="14"/>
      <c r="H20" s="14"/>
      <c r="I20" s="14"/>
      <c r="J20" s="29">
        <f t="shared" si="0"/>
        <v>12092</v>
      </c>
      <c r="K20" s="24"/>
    </row>
    <row r="21" spans="1:14" ht="24" customHeight="1" x14ac:dyDescent="0.35">
      <c r="A21" s="16">
        <v>19</v>
      </c>
      <c r="B21" s="14"/>
      <c r="C21" s="14"/>
      <c r="D21" s="14">
        <v>8988</v>
      </c>
      <c r="E21" s="14"/>
      <c r="F21" s="14"/>
      <c r="G21" s="14"/>
      <c r="H21" s="14"/>
      <c r="I21" s="14"/>
      <c r="J21" s="29">
        <f t="shared" si="0"/>
        <v>8988</v>
      </c>
      <c r="K21" s="26"/>
    </row>
    <row r="22" spans="1:14" ht="24" customHeight="1" x14ac:dyDescent="0.35">
      <c r="A22" s="11">
        <v>20</v>
      </c>
      <c r="B22" s="14"/>
      <c r="C22" s="14">
        <v>3072</v>
      </c>
      <c r="D22" s="14">
        <v>6000</v>
      </c>
      <c r="E22" s="14"/>
      <c r="F22" s="14"/>
      <c r="G22" s="14"/>
      <c r="H22" s="14"/>
      <c r="I22" s="14"/>
      <c r="J22" s="29">
        <f t="shared" si="0"/>
        <v>9072</v>
      </c>
      <c r="K22" s="25"/>
      <c r="N22" s="42"/>
    </row>
    <row r="23" spans="1:14" ht="24" customHeight="1" x14ac:dyDescent="0.35">
      <c r="A23" s="15">
        <v>21</v>
      </c>
      <c r="B23" s="14"/>
      <c r="C23" s="14">
        <v>4160</v>
      </c>
      <c r="D23" s="14">
        <v>4140</v>
      </c>
      <c r="E23" s="14"/>
      <c r="F23" s="14"/>
      <c r="G23" s="14"/>
      <c r="H23" s="14"/>
      <c r="I23" s="14"/>
      <c r="J23" s="29">
        <f t="shared" si="0"/>
        <v>8300</v>
      </c>
      <c r="K23" s="24"/>
    </row>
    <row r="24" spans="1:14" ht="24" customHeight="1" x14ac:dyDescent="0.35">
      <c r="A24" s="16">
        <v>22</v>
      </c>
      <c r="B24" s="14"/>
      <c r="C24" s="14">
        <v>2432</v>
      </c>
      <c r="D24" s="14">
        <v>7920</v>
      </c>
      <c r="E24" s="14"/>
      <c r="F24" s="14"/>
      <c r="G24" s="14"/>
      <c r="H24" s="14"/>
      <c r="I24" s="14"/>
      <c r="J24" s="29">
        <f t="shared" si="0"/>
        <v>10352</v>
      </c>
      <c r="K24" s="43"/>
    </row>
    <row r="25" spans="1:14" ht="26.25" customHeight="1" x14ac:dyDescent="0.3">
      <c r="A25" s="18">
        <v>23</v>
      </c>
      <c r="B25" s="14"/>
      <c r="C25" s="14">
        <v>0</v>
      </c>
      <c r="D25" s="14">
        <v>8268</v>
      </c>
      <c r="E25" s="14"/>
      <c r="F25" s="14"/>
      <c r="G25" s="14"/>
      <c r="H25" s="14"/>
      <c r="I25" s="14"/>
      <c r="J25" s="29">
        <f t="shared" si="0"/>
        <v>8268</v>
      </c>
      <c r="K25" s="41"/>
    </row>
    <row r="26" spans="1:14" ht="24" customHeight="1" x14ac:dyDescent="0.35">
      <c r="A26" s="18">
        <v>24</v>
      </c>
      <c r="B26" s="14"/>
      <c r="C26" s="14"/>
      <c r="D26" s="14"/>
      <c r="E26" s="14"/>
      <c r="F26" s="14"/>
      <c r="G26" s="14"/>
      <c r="H26" s="14"/>
      <c r="I26" s="14"/>
      <c r="J26" s="29">
        <f t="shared" si="0"/>
        <v>0</v>
      </c>
      <c r="K26" s="26" t="s">
        <v>6</v>
      </c>
    </row>
    <row r="27" spans="1:14" ht="24" customHeight="1" x14ac:dyDescent="0.35">
      <c r="A27" s="18">
        <v>25</v>
      </c>
      <c r="B27" s="14"/>
      <c r="C27" s="14">
        <v>4208</v>
      </c>
      <c r="D27" s="14">
        <v>8064</v>
      </c>
      <c r="E27" s="14"/>
      <c r="F27" s="14"/>
      <c r="G27" s="14"/>
      <c r="H27" s="14"/>
      <c r="I27" s="14"/>
      <c r="J27" s="29">
        <f t="shared" si="0"/>
        <v>12272</v>
      </c>
      <c r="K27" s="26"/>
    </row>
    <row r="28" spans="1:14" ht="24" customHeight="1" x14ac:dyDescent="0.35">
      <c r="A28" s="18">
        <v>26</v>
      </c>
      <c r="B28" s="14"/>
      <c r="C28" s="14">
        <v>1440</v>
      </c>
      <c r="D28" s="14">
        <v>8172</v>
      </c>
      <c r="E28" s="14"/>
      <c r="F28" s="14"/>
      <c r="G28" s="14"/>
      <c r="H28" s="14"/>
      <c r="I28" s="14"/>
      <c r="J28" s="29">
        <f t="shared" si="0"/>
        <v>9612</v>
      </c>
      <c r="K28" s="25"/>
    </row>
    <row r="29" spans="1:14" ht="24" customHeight="1" x14ac:dyDescent="0.35">
      <c r="A29" s="18">
        <v>27</v>
      </c>
      <c r="B29" s="14"/>
      <c r="C29" s="14">
        <v>3328</v>
      </c>
      <c r="D29" s="14">
        <v>8028</v>
      </c>
      <c r="E29" s="14"/>
      <c r="F29" s="14"/>
      <c r="G29" s="14"/>
      <c r="H29" s="14"/>
      <c r="I29" s="14"/>
      <c r="J29" s="29">
        <f t="shared" si="0"/>
        <v>11356</v>
      </c>
      <c r="K29" s="24"/>
    </row>
    <row r="30" spans="1:14" ht="24" customHeight="1" x14ac:dyDescent="0.35">
      <c r="A30" s="11">
        <v>28</v>
      </c>
      <c r="B30" s="14"/>
      <c r="C30" s="14">
        <v>2256</v>
      </c>
      <c r="D30" s="14">
        <v>8268</v>
      </c>
      <c r="E30" s="14"/>
      <c r="F30" s="14"/>
      <c r="G30" s="14"/>
      <c r="H30" s="14"/>
      <c r="I30" s="14"/>
      <c r="J30" s="29">
        <f t="shared" si="0"/>
        <v>10524</v>
      </c>
      <c r="K30" s="25"/>
    </row>
    <row r="31" spans="1:14" ht="24" customHeight="1" x14ac:dyDescent="0.35">
      <c r="A31" s="16">
        <v>29</v>
      </c>
      <c r="B31" s="14"/>
      <c r="C31" s="14"/>
      <c r="D31" s="14">
        <v>8028</v>
      </c>
      <c r="E31" s="14"/>
      <c r="F31" s="14"/>
      <c r="G31" s="14"/>
      <c r="H31" s="14"/>
      <c r="I31" s="14"/>
      <c r="J31" s="29">
        <f t="shared" si="0"/>
        <v>8028</v>
      </c>
      <c r="K31" s="24"/>
    </row>
    <row r="32" spans="1:14" ht="24" customHeight="1" x14ac:dyDescent="0.35">
      <c r="A32" s="11">
        <v>30</v>
      </c>
      <c r="B32" s="14">
        <v>1760</v>
      </c>
      <c r="C32" s="14">
        <v>9184</v>
      </c>
      <c r="D32" s="14"/>
      <c r="E32" s="14"/>
      <c r="F32" s="14"/>
      <c r="G32" s="14"/>
      <c r="H32" s="14"/>
      <c r="I32" s="14"/>
      <c r="J32" s="29">
        <f t="shared" si="0"/>
        <v>10944</v>
      </c>
      <c r="K32" s="24"/>
    </row>
    <row r="33" spans="1:12" ht="24" customHeight="1" thickBot="1" x14ac:dyDescent="0.4">
      <c r="A33" s="17">
        <v>31</v>
      </c>
      <c r="B33" s="19"/>
      <c r="C33" s="2"/>
      <c r="D33" s="19"/>
      <c r="E33" s="19"/>
      <c r="F33" s="19"/>
      <c r="G33" s="19"/>
      <c r="H33" s="19"/>
      <c r="I33" s="2"/>
      <c r="J33" s="29">
        <f t="shared" si="0"/>
        <v>0</v>
      </c>
      <c r="K33" s="27" t="s">
        <v>6</v>
      </c>
    </row>
    <row r="34" spans="1:12" ht="24" customHeight="1" thickTop="1" thickBot="1" x14ac:dyDescent="0.35">
      <c r="A34" s="8"/>
      <c r="B34" s="8">
        <f t="shared" ref="B34:H34" si="1">SUM(B3:B33)</f>
        <v>16786</v>
      </c>
      <c r="C34" s="8">
        <f t="shared" si="1"/>
        <v>63904</v>
      </c>
      <c r="D34" s="8">
        <f t="shared" si="1"/>
        <v>177408</v>
      </c>
      <c r="E34" s="8">
        <f t="shared" si="1"/>
        <v>0</v>
      </c>
      <c r="F34" s="8">
        <f t="shared" si="1"/>
        <v>9912</v>
      </c>
      <c r="G34" s="8">
        <f t="shared" si="1"/>
        <v>0</v>
      </c>
      <c r="H34" s="8">
        <f t="shared" si="1"/>
        <v>0</v>
      </c>
      <c r="I34" s="8">
        <f>SUM(I3:I33)</f>
        <v>0</v>
      </c>
      <c r="J34" s="29">
        <f t="shared" si="0"/>
        <v>268010</v>
      </c>
      <c r="K34" s="9"/>
    </row>
    <row r="35" spans="1:12" ht="24" customHeight="1" thickTop="1" thickBot="1" x14ac:dyDescent="0.35">
      <c r="A35" s="8"/>
      <c r="B35" s="8">
        <f>B34*1.9</f>
        <v>31893.399999999998</v>
      </c>
      <c r="C35" s="32">
        <f>C34*1.95</f>
        <v>124612.8</v>
      </c>
      <c r="D35" s="33">
        <f>D34*2</f>
        <v>354816</v>
      </c>
      <c r="E35" s="32">
        <f>E34*2.2</f>
        <v>0</v>
      </c>
      <c r="F35" s="32">
        <f>F34*4.75</f>
        <v>47082</v>
      </c>
      <c r="G35" s="33">
        <f>G34*2.7</f>
        <v>0</v>
      </c>
      <c r="H35" s="32">
        <f>H34*4</f>
        <v>0</v>
      </c>
      <c r="I35" s="32">
        <f>I34*5.2</f>
        <v>0</v>
      </c>
      <c r="J35" s="29">
        <f t="shared" si="0"/>
        <v>558404.19999999995</v>
      </c>
      <c r="K35" s="9">
        <f>J35/J34</f>
        <v>2.0835200179097795</v>
      </c>
      <c r="L35" s="31"/>
    </row>
    <row r="36" spans="1:12" ht="19.5" thickTop="1" x14ac:dyDescent="0.3">
      <c r="A36" s="30"/>
      <c r="B36" s="2"/>
      <c r="C36" s="2"/>
      <c r="D36" s="2"/>
      <c r="E36" s="2"/>
      <c r="F36" s="2"/>
      <c r="G36" s="2"/>
      <c r="H36" s="2"/>
      <c r="I36" s="2"/>
      <c r="J36" s="28"/>
    </row>
    <row r="37" spans="1:12" ht="18.7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8.75" x14ac:dyDescent="0.3">
      <c r="A38" s="14"/>
      <c r="B38" s="14" t="s">
        <v>8</v>
      </c>
      <c r="C38" s="14"/>
      <c r="D38" s="14" t="s">
        <v>9</v>
      </c>
      <c r="E38" s="14" t="s">
        <v>10</v>
      </c>
      <c r="F38" s="14" t="s">
        <v>11</v>
      </c>
      <c r="G38" s="14" t="s">
        <v>12</v>
      </c>
      <c r="H38" s="14" t="s">
        <v>13</v>
      </c>
      <c r="I38" s="14" t="s">
        <v>15</v>
      </c>
      <c r="J38" s="35" t="s">
        <v>16</v>
      </c>
      <c r="K38" s="34"/>
    </row>
    <row r="39" spans="1:12" ht="18.75" x14ac:dyDescent="0.3">
      <c r="A39" s="14"/>
      <c r="B39" s="14" t="s">
        <v>14</v>
      </c>
      <c r="C39" s="14"/>
      <c r="D39" s="14">
        <f>F34</f>
        <v>9912</v>
      </c>
      <c r="E39" s="14">
        <f>D39*2.17/1000</f>
        <v>21.509040000000002</v>
      </c>
      <c r="F39" s="14">
        <f>D39*13.33/1000</f>
        <v>132.12696</v>
      </c>
      <c r="G39" s="14">
        <f>D39*5.83/1000</f>
        <v>57.786960000000001</v>
      </c>
      <c r="H39" s="14">
        <f>G39+F39+E39</f>
        <v>211.42295999999999</v>
      </c>
      <c r="I39" s="14">
        <f>D39/62.5</f>
        <v>158.59200000000001</v>
      </c>
      <c r="J39" s="14">
        <f>IFERROR(F35/I39,0)</f>
        <v>296.875</v>
      </c>
    </row>
    <row r="40" spans="1:12" ht="18.75" x14ac:dyDescent="0.3">
      <c r="A40" s="14"/>
      <c r="B40" s="14" t="s">
        <v>17</v>
      </c>
      <c r="C40" s="14"/>
      <c r="D40" s="14">
        <f>I34</f>
        <v>0</v>
      </c>
      <c r="E40" s="14">
        <f>D40*3.25/1000</f>
        <v>0</v>
      </c>
      <c r="F40" s="14">
        <f>D40*1.5*4.55/1000</f>
        <v>0</v>
      </c>
      <c r="G40" s="14">
        <f>D40*1.5*12.12/1000</f>
        <v>0</v>
      </c>
      <c r="H40" s="14">
        <f>G40+F40+E40</f>
        <v>0</v>
      </c>
      <c r="I40" s="14">
        <f>D40/41.625</f>
        <v>0</v>
      </c>
      <c r="J40" s="14">
        <f>IFERROR(F36/I40,0)</f>
        <v>0</v>
      </c>
    </row>
    <row r="41" spans="1:12" ht="18.75" x14ac:dyDescent="0.3">
      <c r="A41" s="14"/>
      <c r="B41" s="14" t="s">
        <v>18</v>
      </c>
      <c r="C41" s="14"/>
      <c r="D41" s="14">
        <f>B34</f>
        <v>16786</v>
      </c>
      <c r="E41" s="14">
        <f>D41*1.18/1000</f>
        <v>19.807479999999998</v>
      </c>
      <c r="F41" s="14">
        <f>D41*7.27/1000</f>
        <v>122.03421999999999</v>
      </c>
      <c r="G41" s="14">
        <f>D41*3.18/1000</f>
        <v>53.379480000000001</v>
      </c>
      <c r="H41" s="14">
        <f>G41+F41+E41</f>
        <v>195.22118</v>
      </c>
      <c r="I41" s="14">
        <f>D41/125</f>
        <v>134.28800000000001</v>
      </c>
      <c r="J41" s="14">
        <f t="shared" ref="J41:J46" si="2">IFERROR(F37/I41,0)</f>
        <v>0</v>
      </c>
    </row>
    <row r="42" spans="1:12" ht="18.75" x14ac:dyDescent="0.3">
      <c r="A42" s="14"/>
      <c r="B42" s="14" t="s">
        <v>19</v>
      </c>
      <c r="C42" s="14"/>
      <c r="D42" s="14">
        <f>C34</f>
        <v>63904</v>
      </c>
      <c r="E42" s="14">
        <f>D42*1.63/1000</f>
        <v>104.16351999999999</v>
      </c>
      <c r="F42" s="14">
        <f>D42*10/1000</f>
        <v>639.04</v>
      </c>
      <c r="G42" s="14">
        <f>D42*4.4/1000</f>
        <v>281.17760000000004</v>
      </c>
      <c r="H42" s="14">
        <f t="shared" ref="H42:H44" si="3">G42+F42+E42</f>
        <v>1024.38112</v>
      </c>
      <c r="I42" s="14">
        <f>D42/83.33</f>
        <v>766.87867514700588</v>
      </c>
      <c r="J42" s="14">
        <f t="shared" si="2"/>
        <v>0</v>
      </c>
    </row>
    <row r="43" spans="1:12" ht="18.75" x14ac:dyDescent="0.3">
      <c r="A43" s="14"/>
      <c r="B43" s="14" t="s">
        <v>20</v>
      </c>
      <c r="C43" s="14"/>
      <c r="D43" s="14">
        <f>D34</f>
        <v>177408</v>
      </c>
      <c r="E43" s="14">
        <f>D43*1.81/1000</f>
        <v>321.10847999999999</v>
      </c>
      <c r="F43" s="14">
        <f>D43*11.11/1000</f>
        <v>1971.0028799999998</v>
      </c>
      <c r="G43" s="14">
        <f>D43*4.86/1000</f>
        <v>862.20288000000005</v>
      </c>
      <c r="H43" s="14">
        <f t="shared" si="3"/>
        <v>3154.3142399999997</v>
      </c>
      <c r="I43" s="14">
        <f t="shared" ref="I43:I44" si="4">D43/62.5</f>
        <v>2838.5279999999998</v>
      </c>
      <c r="J43" s="14">
        <f t="shared" si="2"/>
        <v>4.6547703598484848E-2</v>
      </c>
    </row>
    <row r="44" spans="1:12" ht="18.75" x14ac:dyDescent="0.3">
      <c r="A44" s="14"/>
      <c r="B44" s="37" t="s">
        <v>21</v>
      </c>
      <c r="C44" s="14"/>
      <c r="D44" s="14">
        <f>E34</f>
        <v>0</v>
      </c>
      <c r="E44" s="14">
        <f>D44*2.18/1000</f>
        <v>0</v>
      </c>
      <c r="F44" s="14">
        <f>D44*1.5*4.17/1000</f>
        <v>0</v>
      </c>
      <c r="G44" s="14">
        <f>D44*11.11/1000</f>
        <v>0</v>
      </c>
      <c r="H44" s="14">
        <f t="shared" si="3"/>
        <v>0</v>
      </c>
      <c r="I44" s="14">
        <f t="shared" si="4"/>
        <v>0</v>
      </c>
      <c r="J44" s="14">
        <f t="shared" si="2"/>
        <v>0</v>
      </c>
    </row>
    <row r="45" spans="1:12" ht="18.75" x14ac:dyDescent="0.3">
      <c r="A45" s="14"/>
      <c r="B45" s="36" t="s">
        <v>22</v>
      </c>
      <c r="C45" s="14"/>
      <c r="D45" s="14">
        <f>G34</f>
        <v>0</v>
      </c>
      <c r="E45" s="14">
        <f>D45*1.98/1000</f>
        <v>0</v>
      </c>
      <c r="F45" s="14"/>
      <c r="G45" s="14"/>
      <c r="H45" s="14"/>
      <c r="I45" s="14"/>
      <c r="J45" s="14">
        <f t="shared" si="2"/>
        <v>0</v>
      </c>
    </row>
    <row r="46" spans="1:12" ht="18.75" x14ac:dyDescent="0.3">
      <c r="A46" s="14"/>
      <c r="B46" s="14" t="s">
        <v>7</v>
      </c>
      <c r="C46" s="14"/>
      <c r="D46" s="14">
        <f>H34</f>
        <v>0</v>
      </c>
      <c r="E46" s="14">
        <f>D46*1.5*1.9/1000</f>
        <v>0</v>
      </c>
      <c r="F46" s="14"/>
      <c r="G46" s="14"/>
      <c r="H46" s="14"/>
      <c r="I46" s="14"/>
      <c r="J46" s="14">
        <f t="shared" si="2"/>
        <v>0</v>
      </c>
    </row>
    <row r="47" spans="1:12" ht="18.75" x14ac:dyDescent="0.3">
      <c r="A47" s="14"/>
      <c r="B47" s="14"/>
      <c r="C47" s="14"/>
      <c r="D47" s="14"/>
      <c r="E47" s="14">
        <f>SUM(E39:E46)</f>
        <v>466.58851999999996</v>
      </c>
      <c r="F47" s="14">
        <f>SUM(F39:F46)</f>
        <v>2864.20406</v>
      </c>
      <c r="G47" s="14">
        <f>SUM(G39:G46)</f>
        <v>1254.5469200000002</v>
      </c>
      <c r="H47" s="14"/>
      <c r="I47" s="14">
        <f>SUM(I39:I46)</f>
        <v>3898.2866751470056</v>
      </c>
      <c r="J47" s="14"/>
    </row>
    <row r="48" spans="1:12" ht="18.7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7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75" x14ac:dyDescent="0.3">
      <c r="A51" s="2"/>
      <c r="B51" s="14" t="s">
        <v>29</v>
      </c>
      <c r="C51" s="37" t="s">
        <v>24</v>
      </c>
      <c r="D51" s="35" t="s">
        <v>25</v>
      </c>
      <c r="E51" s="35" t="s">
        <v>28</v>
      </c>
      <c r="F51" s="35" t="s">
        <v>26</v>
      </c>
      <c r="G51" s="14" t="s">
        <v>28</v>
      </c>
      <c r="H51" s="14" t="s">
        <v>27</v>
      </c>
      <c r="I51" s="14" t="s">
        <v>28</v>
      </c>
      <c r="J51" s="2"/>
    </row>
    <row r="52" spans="1:10" ht="18.75" x14ac:dyDescent="0.3">
      <c r="A52" s="2"/>
      <c r="B52" s="14" t="s">
        <v>23</v>
      </c>
      <c r="C52" s="14">
        <f>D41+D42+D43+D44+D45+D46</f>
        <v>258098</v>
      </c>
      <c r="D52" s="14">
        <f>E41+E42+E43+E44+E45+E46</f>
        <v>445.07947999999999</v>
      </c>
      <c r="E52" s="14">
        <f>D52*240</f>
        <v>106819.07519999999</v>
      </c>
      <c r="F52" s="14">
        <f>F41+F42+F43+F44</f>
        <v>2732.0770999999995</v>
      </c>
      <c r="G52" s="14">
        <f>F52*54</f>
        <v>147532.16339999996</v>
      </c>
      <c r="H52" s="14">
        <f>G41+G42+G43+G44+G45+G46</f>
        <v>1196.7599600000001</v>
      </c>
      <c r="I52" s="14">
        <f>H52*3</f>
        <v>3590.27988</v>
      </c>
      <c r="J52" s="2"/>
    </row>
    <row r="53" spans="1:10" ht="18.75" x14ac:dyDescent="0.3">
      <c r="A53" s="2"/>
      <c r="B53" s="14" t="s">
        <v>14</v>
      </c>
      <c r="C53" s="14">
        <f>D39+D40</f>
        <v>9912</v>
      </c>
      <c r="D53" s="14">
        <f>E39+E40</f>
        <v>21.509040000000002</v>
      </c>
      <c r="E53" s="14">
        <f>D53*240</f>
        <v>5162.1696000000002</v>
      </c>
      <c r="F53" s="14">
        <f>F39+F40</f>
        <v>132.12696</v>
      </c>
      <c r="G53" s="14">
        <f>F53*54</f>
        <v>7134.8558400000002</v>
      </c>
      <c r="H53" s="14">
        <f>G39+G40</f>
        <v>57.786960000000001</v>
      </c>
      <c r="I53" s="14">
        <f>H53*3</f>
        <v>173.36088000000001</v>
      </c>
      <c r="J53" s="2"/>
    </row>
    <row r="54" spans="1:10" ht="18.7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"/>
      <c r="B55" s="38"/>
      <c r="C55" s="38"/>
      <c r="D55" s="38"/>
      <c r="E55" s="1"/>
      <c r="F55" s="1"/>
      <c r="G55" s="1"/>
      <c r="H55" s="1"/>
      <c r="I55" s="1"/>
      <c r="J55" s="1"/>
    </row>
    <row r="56" spans="1:10" x14ac:dyDescent="0.25">
      <c r="B56" s="20"/>
      <c r="C56" s="20"/>
      <c r="D56" s="20"/>
    </row>
    <row r="57" spans="1:10" x14ac:dyDescent="0.25">
      <c r="B57" s="20"/>
      <c r="C57" s="20"/>
      <c r="D57" s="20"/>
    </row>
  </sheetData>
  <mergeCells count="2">
    <mergeCell ref="A1:F1"/>
    <mergeCell ref="H1:K1"/>
  </mergeCells>
  <pageMargins left="0.23622047244094491" right="0.15748031496062992" top="0.19685039370078741" bottom="0.19685039370078741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workbookViewId="0">
      <pane ySplit="2" topLeftCell="A3" activePane="bottomLeft" state="frozen"/>
      <selection pane="bottomLeft" activeCell="B30" sqref="B30"/>
    </sheetView>
  </sheetViews>
  <sheetFormatPr defaultColWidth="13.42578125" defaultRowHeight="25.5" customHeight="1" x14ac:dyDescent="0.25"/>
  <cols>
    <col min="1" max="1" width="10.7109375" style="34" customWidth="1"/>
    <col min="2" max="2" width="16.28515625" style="34" customWidth="1"/>
    <col min="3" max="3" width="16" style="34" customWidth="1"/>
    <col min="4" max="4" width="17.7109375" style="34" customWidth="1"/>
    <col min="5" max="5" width="16.85546875" style="34" customWidth="1"/>
    <col min="6" max="6" width="16.85546875" style="34" bestFit="1" customWidth="1"/>
    <col min="7" max="8" width="10.42578125" style="34" customWidth="1"/>
    <col min="9" max="9" width="10.85546875" style="34" customWidth="1"/>
    <col min="10" max="10" width="19.42578125" style="34" customWidth="1"/>
    <col min="11" max="13" width="13.42578125" style="34"/>
    <col min="14" max="14" width="16.42578125" style="34" customWidth="1"/>
    <col min="15" max="16384" width="13.42578125" style="34"/>
  </cols>
  <sheetData>
    <row r="1" spans="1:24" ht="25.5" customHeight="1" x14ac:dyDescent="0.25">
      <c r="A1" s="102" t="s">
        <v>82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24" ht="25.5" customHeight="1" x14ac:dyDescent="0.25">
      <c r="A2" s="37" t="s">
        <v>32</v>
      </c>
      <c r="B2" s="37" t="s">
        <v>33</v>
      </c>
      <c r="C2" s="37" t="s">
        <v>93</v>
      </c>
      <c r="D2" s="37" t="s">
        <v>91</v>
      </c>
      <c r="E2" s="37" t="s">
        <v>34</v>
      </c>
      <c r="F2" s="37" t="s">
        <v>35</v>
      </c>
      <c r="G2" s="37" t="s">
        <v>36</v>
      </c>
      <c r="H2" s="37" t="s">
        <v>37</v>
      </c>
      <c r="I2" s="37" t="s">
        <v>38</v>
      </c>
      <c r="J2" s="37" t="s">
        <v>39</v>
      </c>
    </row>
    <row r="3" spans="1:24" ht="25.5" customHeight="1" x14ac:dyDescent="0.25">
      <c r="A3" s="37" t="s">
        <v>40</v>
      </c>
      <c r="B3" s="37">
        <f>'January-26'!B34</f>
        <v>46002</v>
      </c>
      <c r="C3" s="37">
        <f>'January-26'!C34</f>
        <v>79040</v>
      </c>
      <c r="D3" s="37">
        <f>'January-26'!D34</f>
        <v>147576</v>
      </c>
      <c r="E3" s="37">
        <f>'January-26'!E34</f>
        <v>0</v>
      </c>
      <c r="F3" s="37">
        <f>'January-26'!F34</f>
        <v>0</v>
      </c>
      <c r="G3" s="37">
        <f>'January-26'!G34</f>
        <v>0</v>
      </c>
      <c r="H3" s="37">
        <f>'January-26'!H34</f>
        <v>0</v>
      </c>
      <c r="I3" s="37">
        <f>'January-26'!I34</f>
        <v>0</v>
      </c>
      <c r="J3" s="37">
        <f>SUM(B3:I3)</f>
        <v>272618</v>
      </c>
      <c r="W3" s="61" t="s">
        <v>90</v>
      </c>
      <c r="X3" s="63" t="s">
        <v>83</v>
      </c>
    </row>
    <row r="4" spans="1:24" ht="25.5" customHeight="1" x14ac:dyDescent="0.25">
      <c r="A4" s="37" t="s">
        <v>41</v>
      </c>
      <c r="B4" s="37">
        <f>'February-26'!B34</f>
        <v>34254</v>
      </c>
      <c r="C4" s="37">
        <f>'February-26'!C34</f>
        <v>80336</v>
      </c>
      <c r="D4" s="37">
        <f>'February-26'!D34</f>
        <v>151512</v>
      </c>
      <c r="E4" s="37">
        <f>'February-26'!E34</f>
        <v>0</v>
      </c>
      <c r="F4" s="37">
        <f>'February-26'!F34</f>
        <v>0</v>
      </c>
      <c r="G4" s="37">
        <f>'February-26'!G34</f>
        <v>0</v>
      </c>
      <c r="H4" s="37">
        <f>'February-26'!H34</f>
        <v>0</v>
      </c>
      <c r="I4" s="37">
        <f>'February-26'!I34</f>
        <v>0</v>
      </c>
      <c r="J4" s="37">
        <f t="shared" ref="J4:J17" si="0">SUM(B4:I4)</f>
        <v>266102</v>
      </c>
      <c r="M4" s="61" t="s">
        <v>32</v>
      </c>
      <c r="N4" s="63" t="s">
        <v>83</v>
      </c>
      <c r="W4" s="37" t="s">
        <v>91</v>
      </c>
      <c r="X4" s="65">
        <f>D15</f>
        <v>1161480</v>
      </c>
    </row>
    <row r="5" spans="1:24" ht="25.5" customHeight="1" x14ac:dyDescent="0.25">
      <c r="A5" s="37" t="s">
        <v>42</v>
      </c>
      <c r="B5" s="37">
        <f>'March-26'!B34</f>
        <v>16280</v>
      </c>
      <c r="C5" s="37">
        <f>'March-26'!C34</f>
        <v>57392</v>
      </c>
      <c r="D5" s="37">
        <f>'March-26'!D34</f>
        <v>133872</v>
      </c>
      <c r="E5" s="37">
        <f>'March-26'!E34</f>
        <v>9480</v>
      </c>
      <c r="F5" s="37">
        <f>'March-26'!F34</f>
        <v>0</v>
      </c>
      <c r="G5" s="37">
        <f>'March-26'!G34</f>
        <v>0</v>
      </c>
      <c r="H5" s="37">
        <f>'March-26'!H34</f>
        <v>0</v>
      </c>
      <c r="I5" s="37">
        <f>'March-26'!I34</f>
        <v>0</v>
      </c>
      <c r="J5" s="37">
        <f t="shared" si="0"/>
        <v>217024</v>
      </c>
      <c r="M5" s="64" t="s">
        <v>84</v>
      </c>
      <c r="N5" s="62">
        <f>'January-26'!J34</f>
        <v>272618</v>
      </c>
      <c r="W5" s="37" t="s">
        <v>93</v>
      </c>
      <c r="X5" s="65">
        <f>C15</f>
        <v>465904</v>
      </c>
    </row>
    <row r="6" spans="1:24" ht="25.5" customHeight="1" x14ac:dyDescent="0.25">
      <c r="A6" s="37" t="s">
        <v>43</v>
      </c>
      <c r="B6" s="37">
        <f>'April-26'!B34</f>
        <v>27500</v>
      </c>
      <c r="C6" s="37">
        <f>'April-26'!C34</f>
        <v>51536</v>
      </c>
      <c r="D6" s="37">
        <f>'April-26'!D34</f>
        <v>171384</v>
      </c>
      <c r="E6" s="37">
        <f>'April-26'!E34</f>
        <v>0</v>
      </c>
      <c r="F6" s="37">
        <f>'April-26'!F34</f>
        <v>8664</v>
      </c>
      <c r="G6" s="37">
        <f>'April-26'!G34</f>
        <v>0</v>
      </c>
      <c r="H6" s="37">
        <f>'April-26'!H34</f>
        <v>0</v>
      </c>
      <c r="I6" s="37">
        <f>'April-26'!I34</f>
        <v>0</v>
      </c>
      <c r="J6" s="37">
        <f t="shared" si="0"/>
        <v>259084</v>
      </c>
      <c r="M6" s="64" t="s">
        <v>85</v>
      </c>
      <c r="N6" s="62">
        <f>'February-26'!J34</f>
        <v>266102</v>
      </c>
      <c r="W6" s="37" t="s">
        <v>33</v>
      </c>
      <c r="X6" s="65">
        <f>B15</f>
        <v>204952</v>
      </c>
    </row>
    <row r="7" spans="1:24" ht="25.5" customHeight="1" x14ac:dyDescent="0.25">
      <c r="A7" s="37" t="s">
        <v>44</v>
      </c>
      <c r="B7" s="37">
        <f>'May-26'!B34</f>
        <v>31614</v>
      </c>
      <c r="C7" s="37">
        <f>'May-26'!C34</f>
        <v>59632</v>
      </c>
      <c r="D7" s="37">
        <f>'May-26'!D34</f>
        <v>169644</v>
      </c>
      <c r="E7" s="37">
        <f>'May-26'!E34</f>
        <v>0</v>
      </c>
      <c r="F7" s="37">
        <f>'May-26'!F34</f>
        <v>7332</v>
      </c>
      <c r="G7" s="37">
        <f>'May-26'!G34</f>
        <v>0</v>
      </c>
      <c r="H7" s="37">
        <f>'May-26'!H34</f>
        <v>0</v>
      </c>
      <c r="I7" s="37">
        <f>'May-26'!I34</f>
        <v>0</v>
      </c>
      <c r="J7" s="37">
        <f t="shared" si="0"/>
        <v>268222</v>
      </c>
      <c r="M7" s="64" t="s">
        <v>86</v>
      </c>
      <c r="N7" s="62">
        <f>'March-26'!J34</f>
        <v>217024</v>
      </c>
      <c r="W7" s="37" t="s">
        <v>35</v>
      </c>
      <c r="X7" s="65">
        <f>F15</f>
        <v>25908</v>
      </c>
    </row>
    <row r="8" spans="1:24" ht="25.5" customHeight="1" x14ac:dyDescent="0.25">
      <c r="A8" s="37" t="s">
        <v>45</v>
      </c>
      <c r="B8" s="37">
        <f>'June-26'!B34</f>
        <v>32516</v>
      </c>
      <c r="C8" s="37">
        <f>'June-26'!C34</f>
        <v>74064</v>
      </c>
      <c r="D8" s="37">
        <f>'June-26'!D34</f>
        <v>210084</v>
      </c>
      <c r="E8" s="37">
        <f>'June-26'!E34</f>
        <v>0</v>
      </c>
      <c r="F8" s="37">
        <f>'June-26'!F34</f>
        <v>0</v>
      </c>
      <c r="G8" s="37">
        <f>'June-26'!G34</f>
        <v>0</v>
      </c>
      <c r="H8" s="37">
        <f>'June-26'!H34</f>
        <v>0</v>
      </c>
      <c r="I8" s="37">
        <f>'June-26'!I34</f>
        <v>0</v>
      </c>
      <c r="J8" s="37">
        <f t="shared" si="0"/>
        <v>316664</v>
      </c>
      <c r="M8" s="64" t="s">
        <v>87</v>
      </c>
      <c r="N8" s="62">
        <f>'April-26'!J34</f>
        <v>259084</v>
      </c>
      <c r="W8" s="37" t="s">
        <v>92</v>
      </c>
      <c r="X8" s="37">
        <f>E15</f>
        <v>9480</v>
      </c>
    </row>
    <row r="9" spans="1:24" ht="25.5" customHeight="1" x14ac:dyDescent="0.25">
      <c r="A9" s="37" t="s">
        <v>46</v>
      </c>
      <c r="B9" s="37">
        <f>'July-26'!B34</f>
        <v>16786</v>
      </c>
      <c r="C9" s="37">
        <f>'July-26'!C34</f>
        <v>63904</v>
      </c>
      <c r="D9" s="37">
        <f>'July-26'!D34</f>
        <v>177408</v>
      </c>
      <c r="E9" s="37">
        <f>'July-26'!E34</f>
        <v>0</v>
      </c>
      <c r="F9" s="37">
        <f>'July-26'!F34</f>
        <v>9912</v>
      </c>
      <c r="G9" s="37">
        <f>'July-26'!G34</f>
        <v>0</v>
      </c>
      <c r="H9" s="37">
        <f>'July-26'!H34</f>
        <v>0</v>
      </c>
      <c r="I9" s="37">
        <f>'July-26'!I34</f>
        <v>0</v>
      </c>
      <c r="J9" s="37">
        <f t="shared" si="0"/>
        <v>268010</v>
      </c>
      <c r="M9" s="64" t="s">
        <v>44</v>
      </c>
      <c r="N9" s="62">
        <f>'May-26'!J34</f>
        <v>268222</v>
      </c>
    </row>
    <row r="10" spans="1:24" ht="25.5" customHeight="1" x14ac:dyDescent="0.25">
      <c r="A10" s="37" t="s">
        <v>47</v>
      </c>
      <c r="B10" s="37"/>
      <c r="C10" s="37"/>
      <c r="D10" s="37"/>
      <c r="E10" s="37"/>
      <c r="F10" s="37"/>
      <c r="G10" s="37"/>
      <c r="H10" s="37"/>
      <c r="I10" s="37"/>
      <c r="J10" s="37">
        <f t="shared" si="0"/>
        <v>0</v>
      </c>
      <c r="M10" s="64" t="s">
        <v>88</v>
      </c>
      <c r="N10" s="62">
        <f>'June-26'!J34</f>
        <v>316664</v>
      </c>
    </row>
    <row r="11" spans="1:24" ht="25.5" customHeight="1" x14ac:dyDescent="0.25">
      <c r="A11" s="37" t="s">
        <v>48</v>
      </c>
      <c r="B11" s="37"/>
      <c r="C11" s="37"/>
      <c r="D11" s="37"/>
      <c r="E11" s="37"/>
      <c r="F11" s="37"/>
      <c r="G11" s="37"/>
      <c r="H11" s="37"/>
      <c r="I11" s="37"/>
      <c r="J11" s="37">
        <f t="shared" si="0"/>
        <v>0</v>
      </c>
      <c r="M11" s="64" t="s">
        <v>89</v>
      </c>
      <c r="N11" s="62">
        <f>'July-26'!J34</f>
        <v>268010</v>
      </c>
    </row>
    <row r="12" spans="1:24" ht="25.5" customHeight="1" x14ac:dyDescent="0.25">
      <c r="A12" s="37" t="s">
        <v>49</v>
      </c>
      <c r="B12" s="37"/>
      <c r="C12" s="37"/>
      <c r="D12" s="37"/>
      <c r="E12" s="37"/>
      <c r="F12" s="37"/>
      <c r="G12" s="37"/>
      <c r="H12" s="37"/>
      <c r="I12" s="37"/>
      <c r="J12" s="37">
        <f t="shared" si="0"/>
        <v>0</v>
      </c>
      <c r="M12" s="64"/>
      <c r="N12" s="62"/>
    </row>
    <row r="13" spans="1:24" ht="36" customHeight="1" x14ac:dyDescent="0.25">
      <c r="A13" s="37" t="s">
        <v>50</v>
      </c>
      <c r="B13" s="37"/>
      <c r="C13" s="37"/>
      <c r="D13" s="37"/>
      <c r="E13" s="37"/>
      <c r="F13" s="37"/>
      <c r="G13" s="37"/>
      <c r="H13" s="37"/>
      <c r="I13" s="37"/>
      <c r="J13" s="37">
        <f t="shared" si="0"/>
        <v>0</v>
      </c>
      <c r="M13" s="64"/>
      <c r="N13" s="62"/>
      <c r="P13" s="101" t="s">
        <v>100</v>
      </c>
      <c r="Q13" s="101"/>
      <c r="R13" s="101"/>
      <c r="S13" s="101"/>
      <c r="T13" s="101"/>
      <c r="U13" s="101"/>
      <c r="V13" s="101"/>
    </row>
    <row r="14" spans="1:24" ht="25.5" customHeight="1" x14ac:dyDescent="0.25">
      <c r="A14" s="37" t="s">
        <v>51</v>
      </c>
      <c r="B14" s="37"/>
      <c r="C14" s="37"/>
      <c r="D14" s="37"/>
      <c r="E14" s="37"/>
      <c r="F14" s="37"/>
      <c r="G14" s="37"/>
      <c r="H14" s="37"/>
      <c r="I14" s="37"/>
      <c r="J14" s="37">
        <f t="shared" si="0"/>
        <v>0</v>
      </c>
      <c r="M14" s="64"/>
      <c r="N14" s="62"/>
    </row>
    <row r="15" spans="1:24" ht="25.5" customHeight="1" x14ac:dyDescent="0.25">
      <c r="A15" s="37" t="s">
        <v>52</v>
      </c>
      <c r="B15" s="37">
        <f t="shared" ref="B15:I15" si="1">SUM(B3:B14)</f>
        <v>204952</v>
      </c>
      <c r="C15" s="37">
        <f t="shared" si="1"/>
        <v>465904</v>
      </c>
      <c r="D15" s="37">
        <f t="shared" si="1"/>
        <v>1161480</v>
      </c>
      <c r="E15" s="37">
        <f t="shared" si="1"/>
        <v>9480</v>
      </c>
      <c r="F15" s="37">
        <f t="shared" si="1"/>
        <v>25908</v>
      </c>
      <c r="G15" s="37">
        <f t="shared" si="1"/>
        <v>0</v>
      </c>
      <c r="H15" s="37">
        <f t="shared" si="1"/>
        <v>0</v>
      </c>
      <c r="I15" s="37">
        <f t="shared" si="1"/>
        <v>0</v>
      </c>
      <c r="J15" s="37">
        <f t="shared" si="0"/>
        <v>1867724</v>
      </c>
      <c r="K15" s="50"/>
      <c r="M15" s="64"/>
      <c r="N15" s="62"/>
    </row>
    <row r="16" spans="1:24" ht="25.5" customHeight="1" x14ac:dyDescent="0.25">
      <c r="A16" s="37" t="s">
        <v>77</v>
      </c>
      <c r="B16" s="37">
        <f>B15/125</f>
        <v>1639.616</v>
      </c>
      <c r="C16" s="37">
        <f>C15/83.33</f>
        <v>5591.0716428657151</v>
      </c>
      <c r="D16" s="37">
        <f>D15/62.5</f>
        <v>18583.68</v>
      </c>
      <c r="E16" s="37">
        <f>E15/62.5</f>
        <v>151.68</v>
      </c>
      <c r="F16" s="37">
        <f>F15/62.5</f>
        <v>414.52800000000002</v>
      </c>
      <c r="G16" s="37">
        <f>G15/50</f>
        <v>0</v>
      </c>
      <c r="H16" s="37">
        <f>H15/41.63</f>
        <v>0</v>
      </c>
      <c r="I16" s="37">
        <f>I15/41.63</f>
        <v>0</v>
      </c>
      <c r="J16" s="37">
        <f t="shared" si="0"/>
        <v>26380.575642865715</v>
      </c>
      <c r="M16" s="64"/>
      <c r="N16" s="62"/>
    </row>
    <row r="17" spans="1:27" ht="25.5" customHeight="1" x14ac:dyDescent="0.25">
      <c r="A17" s="37" t="s">
        <v>53</v>
      </c>
      <c r="B17" s="59">
        <f>B15*1.6</f>
        <v>327923.20000000001</v>
      </c>
      <c r="C17" s="59">
        <f>C15*1.65</f>
        <v>768741.6</v>
      </c>
      <c r="D17" s="59">
        <f>D15*1.7</f>
        <v>1974516</v>
      </c>
      <c r="E17" s="51">
        <f>E15*1.8</f>
        <v>17064</v>
      </c>
      <c r="F17" s="51">
        <f>F15*3.8</f>
        <v>98450.4</v>
      </c>
      <c r="G17" s="51">
        <f>G15*3.8</f>
        <v>0</v>
      </c>
      <c r="H17" s="51">
        <f>H15*3.5</f>
        <v>0</v>
      </c>
      <c r="I17" s="51">
        <f>I15*5.2</f>
        <v>0</v>
      </c>
      <c r="J17" s="37">
        <f t="shared" si="0"/>
        <v>3186695.1999999997</v>
      </c>
    </row>
    <row r="18" spans="1:27" ht="37.5" customHeight="1" x14ac:dyDescent="0.25">
      <c r="V18" s="107" t="s">
        <v>94</v>
      </c>
      <c r="W18" s="107"/>
      <c r="X18" s="107"/>
      <c r="Y18" s="107"/>
      <c r="Z18" s="107"/>
      <c r="AA18" s="107"/>
    </row>
    <row r="20" spans="1:27" ht="25.5" customHeight="1" thickBot="1" x14ac:dyDescent="0.3"/>
    <row r="21" spans="1:27" ht="25.5" customHeight="1" thickTop="1" thickBot="1" x14ac:dyDescent="0.3">
      <c r="A21" s="103" t="s">
        <v>54</v>
      </c>
      <c r="B21" s="104"/>
      <c r="C21" s="104"/>
      <c r="D21" s="105"/>
    </row>
    <row r="22" spans="1:27" ht="25.5" customHeight="1" thickTop="1" thickBot="1" x14ac:dyDescent="0.3">
      <c r="A22" s="52" t="s">
        <v>55</v>
      </c>
      <c r="B22" s="48" t="s">
        <v>58</v>
      </c>
      <c r="C22" s="48" t="s">
        <v>56</v>
      </c>
      <c r="D22" s="47" t="s">
        <v>57</v>
      </c>
    </row>
    <row r="23" spans="1:27" ht="25.5" customHeight="1" thickTop="1" thickBot="1" x14ac:dyDescent="0.3">
      <c r="A23" s="47">
        <f>F15+I15</f>
        <v>25908</v>
      </c>
      <c r="B23" s="47">
        <f>F16+I16</f>
        <v>414.52800000000002</v>
      </c>
      <c r="C23" s="47">
        <f>F17+I17</f>
        <v>98450.4</v>
      </c>
      <c r="D23" s="53">
        <f>IFERROR(C23/B23,0)</f>
        <v>237.49999999999997</v>
      </c>
    </row>
    <row r="24" spans="1:27" ht="25.5" customHeight="1" thickTop="1" thickBot="1" x14ac:dyDescent="0.3">
      <c r="A24" s="54"/>
    </row>
    <row r="25" spans="1:27" ht="25.5" customHeight="1" thickTop="1" thickBot="1" x14ac:dyDescent="0.3">
      <c r="A25" s="106" t="s">
        <v>23</v>
      </c>
      <c r="B25" s="104"/>
      <c r="C25" s="104"/>
      <c r="D25" s="105"/>
      <c r="E25" s="55"/>
    </row>
    <row r="26" spans="1:27" ht="25.5" customHeight="1" thickTop="1" thickBot="1" x14ac:dyDescent="0.3">
      <c r="A26" s="52" t="s">
        <v>55</v>
      </c>
      <c r="B26" s="48" t="s">
        <v>58</v>
      </c>
      <c r="C26" s="48" t="s">
        <v>56</v>
      </c>
      <c r="D26" s="48" t="s">
        <v>59</v>
      </c>
    </row>
    <row r="27" spans="1:27" ht="17.25" thickTop="1" thickBot="1" x14ac:dyDescent="0.3">
      <c r="A27" s="47">
        <f>B15+C15+D15+E15+G15+H15</f>
        <v>1841816</v>
      </c>
      <c r="B27" s="47">
        <f>B16+C16+D16+E16+G16+H16</f>
        <v>25966.047642865717</v>
      </c>
      <c r="C27" s="47">
        <f>B17+C17+D17+E17+G17+H17</f>
        <v>3088244.8</v>
      </c>
      <c r="D27" s="47">
        <f>C27/B27</f>
        <v>118.93395723813626</v>
      </c>
      <c r="E27" s="55"/>
      <c r="U27" s="68"/>
      <c r="V27" s="69"/>
      <c r="W27" s="70"/>
    </row>
    <row r="28" spans="1:27" ht="29.25" customHeight="1" thickTop="1" x14ac:dyDescent="0.25">
      <c r="A28" s="56"/>
      <c r="B28" s="56"/>
      <c r="D28" s="56"/>
      <c r="L28" s="101" t="s">
        <v>95</v>
      </c>
      <c r="M28" s="101"/>
      <c r="N28" s="101"/>
      <c r="O28" s="101"/>
      <c r="P28" s="101"/>
      <c r="Q28" s="101"/>
      <c r="R28" s="101"/>
      <c r="S28" s="101"/>
      <c r="U28" s="71"/>
      <c r="V28" s="72"/>
      <c r="W28" s="73"/>
    </row>
    <row r="29" spans="1:27" ht="15.75" x14ac:dyDescent="0.25">
      <c r="A29" s="37" t="s">
        <v>8</v>
      </c>
      <c r="B29" s="37" t="s">
        <v>11</v>
      </c>
      <c r="C29" s="37" t="s">
        <v>60</v>
      </c>
      <c r="D29" s="37" t="s">
        <v>12</v>
      </c>
      <c r="E29" s="37" t="s">
        <v>60</v>
      </c>
      <c r="F29" s="37" t="s">
        <v>10</v>
      </c>
      <c r="G29" s="37" t="s">
        <v>61</v>
      </c>
      <c r="H29" s="60" t="s">
        <v>62</v>
      </c>
      <c r="U29" s="71"/>
      <c r="V29" s="72"/>
      <c r="W29" s="73"/>
    </row>
    <row r="30" spans="1:27" ht="15.75" x14ac:dyDescent="0.25">
      <c r="A30" s="37" t="s">
        <v>63</v>
      </c>
      <c r="B30" s="37">
        <f>B15*7.27</f>
        <v>1490001.0399999998</v>
      </c>
      <c r="C30" s="37">
        <f t="shared" ref="C30:C36" si="2">B30/1680</f>
        <v>886.90538095238082</v>
      </c>
      <c r="D30" s="37">
        <f>B15*3.18</f>
        <v>651747.36</v>
      </c>
      <c r="E30" s="37">
        <f t="shared" ref="E30:E36" si="3">D30/1600</f>
        <v>407.34210000000002</v>
      </c>
      <c r="F30" s="37">
        <f>B15*1.18</f>
        <v>241843.36</v>
      </c>
      <c r="G30" s="37">
        <f t="shared" ref="G30:G36" si="4">F30/1000</f>
        <v>241.84335999999999</v>
      </c>
      <c r="H30" s="37">
        <f t="shared" ref="H30:H36" si="5">B30+D30+F30</f>
        <v>2383591.7599999998</v>
      </c>
      <c r="U30" s="71"/>
      <c r="V30" s="72"/>
      <c r="W30" s="73"/>
    </row>
    <row r="31" spans="1:27" ht="15.75" x14ac:dyDescent="0.25">
      <c r="A31" s="37" t="s">
        <v>64</v>
      </c>
      <c r="B31" s="37">
        <f>C15*10</f>
        <v>4659040</v>
      </c>
      <c r="C31" s="37">
        <f t="shared" si="2"/>
        <v>2773.2380952380954</v>
      </c>
      <c r="D31" s="37">
        <f>C15*4.4</f>
        <v>2049977.6</v>
      </c>
      <c r="E31" s="37">
        <f t="shared" si="3"/>
        <v>1281.2360000000001</v>
      </c>
      <c r="F31" s="37">
        <f>C15*1.63</f>
        <v>759423.5199999999</v>
      </c>
      <c r="G31" s="37">
        <f t="shared" si="4"/>
        <v>759.42351999999994</v>
      </c>
      <c r="H31" s="37">
        <f t="shared" si="5"/>
        <v>7468441.1199999992</v>
      </c>
      <c r="U31" s="71"/>
      <c r="V31" s="72"/>
      <c r="W31" s="73"/>
    </row>
    <row r="32" spans="1:27" ht="15.75" x14ac:dyDescent="0.25">
      <c r="A32" s="37" t="s">
        <v>65</v>
      </c>
      <c r="B32" s="37">
        <f>D15*11.11</f>
        <v>12904042.799999999</v>
      </c>
      <c r="C32" s="37">
        <f t="shared" si="2"/>
        <v>7680.9778571428569</v>
      </c>
      <c r="D32" s="37">
        <f>D15*4.86</f>
        <v>5644792.8000000007</v>
      </c>
      <c r="E32" s="37">
        <f t="shared" si="3"/>
        <v>3527.9955000000004</v>
      </c>
      <c r="F32" s="37">
        <f>D15*1.81</f>
        <v>2102278.8000000003</v>
      </c>
      <c r="G32" s="37">
        <f t="shared" si="4"/>
        <v>2102.2788000000005</v>
      </c>
      <c r="H32" s="37">
        <f t="shared" si="5"/>
        <v>20651114.400000002</v>
      </c>
      <c r="U32" s="71"/>
      <c r="V32" s="72"/>
      <c r="W32" s="73"/>
    </row>
    <row r="33" spans="1:23" ht="15.75" x14ac:dyDescent="0.25">
      <c r="A33" s="37" t="s">
        <v>34</v>
      </c>
      <c r="B33" s="37">
        <f>E15*10.26</f>
        <v>97264.8</v>
      </c>
      <c r="C33" s="37">
        <f t="shared" si="2"/>
        <v>57.895714285714284</v>
      </c>
      <c r="D33" s="37">
        <f>E15*4.49</f>
        <v>42565.200000000004</v>
      </c>
      <c r="E33" s="37">
        <f t="shared" si="3"/>
        <v>26.603250000000003</v>
      </c>
      <c r="F33" s="37">
        <f>E15*1.67</f>
        <v>15831.599999999999</v>
      </c>
      <c r="G33" s="37">
        <f t="shared" si="4"/>
        <v>15.831599999999998</v>
      </c>
      <c r="H33" s="37">
        <f t="shared" si="5"/>
        <v>155661.6</v>
      </c>
      <c r="U33" s="71"/>
      <c r="V33" s="72"/>
      <c r="W33" s="73"/>
    </row>
    <row r="34" spans="1:23" ht="15.75" x14ac:dyDescent="0.25">
      <c r="A34" s="37" t="s">
        <v>0</v>
      </c>
      <c r="B34" s="37">
        <f>F15*13.33</f>
        <v>345353.64</v>
      </c>
      <c r="C34" s="37">
        <f t="shared" si="2"/>
        <v>205.56764285714286</v>
      </c>
      <c r="D34" s="37">
        <f>F15*5.83</f>
        <v>151043.64000000001</v>
      </c>
      <c r="E34" s="37">
        <f t="shared" si="3"/>
        <v>94.402275000000003</v>
      </c>
      <c r="F34" s="37">
        <f>F15*2.17</f>
        <v>56220.36</v>
      </c>
      <c r="G34" s="37">
        <f t="shared" si="4"/>
        <v>56.220359999999999</v>
      </c>
      <c r="H34" s="37">
        <f t="shared" si="5"/>
        <v>552617.64</v>
      </c>
      <c r="K34" s="57"/>
      <c r="U34" s="71"/>
      <c r="V34" s="72"/>
      <c r="W34" s="73"/>
    </row>
    <row r="35" spans="1:23" ht="15.75" x14ac:dyDescent="0.25">
      <c r="A35" s="37" t="s">
        <v>37</v>
      </c>
      <c r="B35" s="37">
        <f>H15*16.67</f>
        <v>0</v>
      </c>
      <c r="C35" s="37">
        <f t="shared" si="2"/>
        <v>0</v>
      </c>
      <c r="D35" s="37">
        <f>H15*7.29</f>
        <v>0</v>
      </c>
      <c r="E35" s="37">
        <f t="shared" si="3"/>
        <v>0</v>
      </c>
      <c r="F35" s="37">
        <f>H15*2.17</f>
        <v>0</v>
      </c>
      <c r="G35" s="37">
        <f t="shared" si="4"/>
        <v>0</v>
      </c>
      <c r="H35" s="37">
        <f t="shared" si="5"/>
        <v>0</v>
      </c>
      <c r="U35" s="71"/>
      <c r="V35" s="72"/>
      <c r="W35" s="73"/>
    </row>
    <row r="36" spans="1:23" ht="16.5" thickBot="1" x14ac:dyDescent="0.3">
      <c r="A36" s="58" t="s">
        <v>17</v>
      </c>
      <c r="B36" s="58">
        <f>I15*20</f>
        <v>0</v>
      </c>
      <c r="C36" s="58">
        <f t="shared" si="2"/>
        <v>0</v>
      </c>
      <c r="D36" s="58">
        <f>I15*8.75</f>
        <v>0</v>
      </c>
      <c r="E36" s="58">
        <f t="shared" si="3"/>
        <v>0</v>
      </c>
      <c r="F36" s="58">
        <f>I15*3.25</f>
        <v>0</v>
      </c>
      <c r="G36" s="58">
        <f t="shared" si="4"/>
        <v>0</v>
      </c>
      <c r="H36" s="58">
        <f t="shared" si="5"/>
        <v>0</v>
      </c>
      <c r="U36" s="71"/>
      <c r="V36" s="72"/>
      <c r="W36" s="73"/>
    </row>
    <row r="37" spans="1:23" ht="17.25" thickTop="1" thickBot="1" x14ac:dyDescent="0.3">
      <c r="A37" s="47" t="s">
        <v>66</v>
      </c>
      <c r="B37" s="47">
        <f t="shared" ref="B37:H37" si="6">SUM(B30:B36)</f>
        <v>19495702.280000001</v>
      </c>
      <c r="C37" s="47">
        <f t="shared" si="6"/>
        <v>11604.584690476189</v>
      </c>
      <c r="D37" s="47">
        <f t="shared" si="6"/>
        <v>8540126.6000000015</v>
      </c>
      <c r="E37" s="47">
        <f t="shared" si="6"/>
        <v>5337.5791250000011</v>
      </c>
      <c r="F37" s="47">
        <f t="shared" si="6"/>
        <v>3175597.64</v>
      </c>
      <c r="G37" s="47">
        <f t="shared" si="6"/>
        <v>3175.59764</v>
      </c>
      <c r="H37" s="47">
        <f t="shared" si="6"/>
        <v>31211426.520000003</v>
      </c>
      <c r="U37" s="71"/>
      <c r="V37" s="72"/>
      <c r="W37" s="73"/>
    </row>
    <row r="38" spans="1:23" ht="16.5" thickTop="1" x14ac:dyDescent="0.25">
      <c r="U38" s="71"/>
      <c r="V38" s="72"/>
      <c r="W38" s="73"/>
    </row>
    <row r="39" spans="1:23" ht="15.75" x14ac:dyDescent="0.25">
      <c r="U39" s="71"/>
      <c r="V39" s="72"/>
      <c r="W39" s="73"/>
    </row>
    <row r="40" spans="1:23" ht="15.75" x14ac:dyDescent="0.25">
      <c r="U40" s="71"/>
      <c r="V40" s="72"/>
      <c r="W40" s="73"/>
    </row>
    <row r="41" spans="1:23" ht="15.75" x14ac:dyDescent="0.25">
      <c r="U41" s="71"/>
      <c r="V41" s="72"/>
      <c r="W41" s="73"/>
    </row>
    <row r="42" spans="1:23" ht="15.75" x14ac:dyDescent="0.25">
      <c r="U42" s="71"/>
      <c r="V42" s="72"/>
      <c r="W42" s="73"/>
    </row>
    <row r="43" spans="1:23" ht="15.75" x14ac:dyDescent="0.25">
      <c r="U43" s="71"/>
      <c r="V43" s="72"/>
      <c r="W43" s="73"/>
    </row>
    <row r="44" spans="1:23" ht="15.75" x14ac:dyDescent="0.25">
      <c r="U44" s="74"/>
      <c r="V44" s="75"/>
      <c r="W44" s="76"/>
    </row>
  </sheetData>
  <mergeCells count="6">
    <mergeCell ref="L28:S28"/>
    <mergeCell ref="A1:J1"/>
    <mergeCell ref="A21:D21"/>
    <mergeCell ref="A25:D25"/>
    <mergeCell ref="P13:V13"/>
    <mergeCell ref="V18:AA18"/>
  </mergeCells>
  <conditionalFormatting sqref="K2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{48B68B0F-68E7-437F-A6A7-4F59BAF19DF0}</x14:id>
        </ext>
      </extLst>
    </cfRule>
  </conditionalFormatting>
  <pageMargins left="9.8425196850393706E-2" right="9.8425196850393706E-2" top="0.74803149606299213" bottom="0.74803149606299213" header="0.31496062992125984" footer="0.31496062992125984"/>
  <pageSetup paperSize="9" orientation="landscape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B68B0F-68E7-437F-A6A7-4F59BAF19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showGridLines="0" workbookViewId="0">
      <pane ySplit="8" topLeftCell="A21" activePane="bottomLeft" state="frozen"/>
      <selection pane="bottomLeft" activeCell="E12" sqref="E12"/>
    </sheetView>
  </sheetViews>
  <sheetFormatPr defaultRowHeight="15" x14ac:dyDescent="0.25"/>
  <cols>
    <col min="1" max="2" width="15.85546875" customWidth="1"/>
    <col min="3" max="3" width="15.7109375" customWidth="1"/>
    <col min="4" max="6" width="16.140625" customWidth="1"/>
    <col min="7" max="9" width="15.85546875" customWidth="1"/>
    <col min="10" max="12" width="16.28515625" customWidth="1"/>
  </cols>
  <sheetData>
    <row r="1" spans="1:13" x14ac:dyDescent="0.25">
      <c r="A1" s="111" t="s">
        <v>96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3" ht="10.5" customHeight="1" x14ac:dyDescent="0.2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1:13" ht="15.75" thickBot="1" x14ac:dyDescent="0.3"/>
    <row r="4" spans="1:13" x14ac:dyDescent="0.25">
      <c r="A4" s="113" t="s">
        <v>83</v>
      </c>
      <c r="B4" s="114"/>
      <c r="C4" s="115"/>
      <c r="D4" s="113" t="s">
        <v>97</v>
      </c>
      <c r="E4" s="114"/>
      <c r="F4" s="115"/>
      <c r="G4" s="122" t="s">
        <v>98</v>
      </c>
      <c r="H4" s="123"/>
      <c r="I4" s="124"/>
      <c r="J4" s="113" t="s">
        <v>99</v>
      </c>
      <c r="K4" s="131"/>
      <c r="L4" s="132"/>
    </row>
    <row r="5" spans="1:13" x14ac:dyDescent="0.25">
      <c r="A5" s="116"/>
      <c r="B5" s="117"/>
      <c r="C5" s="118"/>
      <c r="D5" s="116"/>
      <c r="E5" s="117"/>
      <c r="F5" s="118"/>
      <c r="G5" s="125"/>
      <c r="H5" s="126"/>
      <c r="I5" s="127"/>
      <c r="J5" s="133"/>
      <c r="K5" s="134"/>
      <c r="L5" s="135"/>
    </row>
    <row r="6" spans="1:13" ht="15.75" thickBot="1" x14ac:dyDescent="0.3">
      <c r="A6" s="119"/>
      <c r="B6" s="120"/>
      <c r="C6" s="121"/>
      <c r="D6" s="119"/>
      <c r="E6" s="120"/>
      <c r="F6" s="121"/>
      <c r="G6" s="128"/>
      <c r="H6" s="129"/>
      <c r="I6" s="130"/>
      <c r="J6" s="136"/>
      <c r="K6" s="137"/>
      <c r="L6" s="138"/>
    </row>
    <row r="7" spans="1:13" ht="15.75" thickBot="1" x14ac:dyDescent="0.3"/>
    <row r="8" spans="1:13" ht="32.25" thickBot="1" x14ac:dyDescent="0.55000000000000004">
      <c r="A8" s="139">
        <f>'Year-2026'!J15</f>
        <v>1867724</v>
      </c>
      <c r="B8" s="140"/>
      <c r="C8" s="141"/>
      <c r="D8" s="108" t="s">
        <v>45</v>
      </c>
      <c r="E8" s="109"/>
      <c r="F8" s="110"/>
      <c r="G8" s="142">
        <f>A8/7</f>
        <v>266817.71428571426</v>
      </c>
      <c r="H8" s="143"/>
      <c r="I8" s="144"/>
      <c r="J8" s="108" t="s">
        <v>91</v>
      </c>
      <c r="K8" s="109"/>
      <c r="L8" s="110"/>
    </row>
    <row r="10" spans="1:13" x14ac:dyDescent="0.25">
      <c r="M10" s="67"/>
    </row>
    <row r="22" spans="1:10" ht="16.5" customHeight="1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</row>
  </sheetData>
  <mergeCells count="9">
    <mergeCell ref="J8:L8"/>
    <mergeCell ref="A1:L2"/>
    <mergeCell ref="A4:C6"/>
    <mergeCell ref="D4:F6"/>
    <mergeCell ref="G4:I6"/>
    <mergeCell ref="J4:L6"/>
    <mergeCell ref="A8:C8"/>
    <mergeCell ref="D8:F8"/>
    <mergeCell ref="G8:I8"/>
  </mergeCells>
  <pageMargins left="0.70866141732283472" right="0.70866141732283472" top="0.74803149606299213" bottom="0.74803149606299213" header="0.31496062992125984" footer="0.31496062992125984"/>
  <pageSetup scale="6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4"/>
  <sheetViews>
    <sheetView tabSelected="1" topLeftCell="I1" workbookViewId="0">
      <selection activeCell="V8" sqref="V8"/>
    </sheetView>
  </sheetViews>
  <sheetFormatPr defaultRowHeight="15" x14ac:dyDescent="0.25"/>
  <cols>
    <col min="1" max="1" width="10.7109375" bestFit="1" customWidth="1"/>
    <col min="9" max="9" width="11.28515625" customWidth="1"/>
    <col min="11" max="11" width="10.28515625" customWidth="1"/>
    <col min="15" max="15" width="3.42578125" customWidth="1"/>
    <col min="16" max="16" width="34.5703125" customWidth="1"/>
    <col min="19" max="19" width="23.85546875" customWidth="1"/>
    <col min="20" max="20" width="17.42578125" customWidth="1"/>
    <col min="21" max="21" width="15.85546875" customWidth="1"/>
    <col min="22" max="22" width="20.28515625" customWidth="1"/>
  </cols>
  <sheetData>
    <row r="1" spans="1:20" ht="16.5" thickTop="1" thickBot="1" x14ac:dyDescent="0.3">
      <c r="A1" s="81" t="s">
        <v>71</v>
      </c>
      <c r="B1" s="83" t="s">
        <v>32</v>
      </c>
      <c r="C1" s="82" t="s">
        <v>76</v>
      </c>
      <c r="D1" s="84" t="s">
        <v>103</v>
      </c>
      <c r="E1" s="84" t="s">
        <v>104</v>
      </c>
      <c r="F1" s="84" t="s">
        <v>105</v>
      </c>
      <c r="G1" s="84" t="s">
        <v>106</v>
      </c>
      <c r="H1" s="84" t="s">
        <v>107</v>
      </c>
      <c r="I1" s="84" t="s">
        <v>108</v>
      </c>
      <c r="J1" s="84" t="s">
        <v>7</v>
      </c>
      <c r="K1" s="84" t="s">
        <v>3</v>
      </c>
      <c r="L1" s="84" t="s">
        <v>101</v>
      </c>
      <c r="M1" s="82" t="s">
        <v>102</v>
      </c>
    </row>
    <row r="2" spans="1:20" ht="18.75" customHeight="1" thickTop="1" x14ac:dyDescent="0.35">
      <c r="A2" s="89">
        <f>DATE(2026,1,C2)</f>
        <v>46023</v>
      </c>
      <c r="B2" s="85" t="str">
        <f>TEXT(A2,"mmm")</f>
        <v>Jan</v>
      </c>
      <c r="C2" s="28">
        <v>1</v>
      </c>
      <c r="D2" s="77">
        <v>16060</v>
      </c>
      <c r="E2" s="2"/>
      <c r="F2" s="78"/>
      <c r="G2" s="77"/>
      <c r="H2" s="2"/>
      <c r="I2" s="78"/>
      <c r="J2" s="77"/>
      <c r="K2" s="2"/>
      <c r="L2" s="79">
        <f>SUM(D2:K2)</f>
        <v>16060</v>
      </c>
      <c r="M2" s="80"/>
      <c r="P2" t="s">
        <v>83</v>
      </c>
      <c r="Q2">
        <f>SUM(L2:L213)</f>
        <v>1867724</v>
      </c>
      <c r="S2" s="61" t="s">
        <v>32</v>
      </c>
      <c r="T2" s="63" t="s">
        <v>83</v>
      </c>
    </row>
    <row r="3" spans="1:20" ht="19.5" x14ac:dyDescent="0.35">
      <c r="A3" s="87">
        <f t="shared" ref="A3:A32" si="0">DATE(2026,1,C3)</f>
        <v>46024</v>
      </c>
      <c r="B3" s="88" t="str">
        <f t="shared" ref="B3:B32" si="1">TEXT(A3,"mmm")</f>
        <v>Jan</v>
      </c>
      <c r="C3" s="14">
        <v>2</v>
      </c>
      <c r="D3" s="14"/>
      <c r="E3" s="14"/>
      <c r="F3" s="14"/>
      <c r="G3" s="14"/>
      <c r="H3" s="14"/>
      <c r="I3" s="14"/>
      <c r="J3" s="14"/>
      <c r="K3" s="14"/>
      <c r="L3" s="29">
        <f t="shared" ref="L3:L32" si="2">SUM(D3:K3)</f>
        <v>0</v>
      </c>
      <c r="M3" s="24" t="s">
        <v>6</v>
      </c>
      <c r="P3" t="s">
        <v>109</v>
      </c>
      <c r="Q3">
        <f>COUNTIF(L2:L213,"&gt;0")</f>
        <v>171</v>
      </c>
      <c r="S3" s="64" t="s">
        <v>40</v>
      </c>
      <c r="T3" s="62">
        <f>SUMIF($B$2:$B$213,LEFT(S3,3),$L$2:$L$213)</f>
        <v>272618</v>
      </c>
    </row>
    <row r="4" spans="1:20" ht="19.5" x14ac:dyDescent="0.35">
      <c r="A4" s="87">
        <f t="shared" si="0"/>
        <v>46025</v>
      </c>
      <c r="B4" s="88" t="str">
        <f t="shared" si="1"/>
        <v>Jan</v>
      </c>
      <c r="C4" s="14">
        <v>3</v>
      </c>
      <c r="D4" s="14"/>
      <c r="E4" s="14">
        <v>4240</v>
      </c>
      <c r="F4" s="14">
        <v>8160</v>
      </c>
      <c r="G4" s="14"/>
      <c r="H4" s="14"/>
      <c r="I4" s="14"/>
      <c r="J4" s="14"/>
      <c r="K4" s="14"/>
      <c r="L4" s="29">
        <f t="shared" si="2"/>
        <v>12400</v>
      </c>
      <c r="M4" s="25"/>
      <c r="P4" t="s">
        <v>110</v>
      </c>
      <c r="Q4">
        <v>41</v>
      </c>
      <c r="S4" s="64" t="s">
        <v>41</v>
      </c>
      <c r="T4" s="62">
        <f t="shared" ref="T4:T9" si="3">SUMIF($B$2:$B$213,LEFT(S4,3),$L$2:$L$213)</f>
        <v>266102</v>
      </c>
    </row>
    <row r="5" spans="1:20" ht="19.5" x14ac:dyDescent="0.35">
      <c r="A5" s="87">
        <f t="shared" si="0"/>
        <v>46026</v>
      </c>
      <c r="B5" s="88" t="str">
        <f t="shared" si="1"/>
        <v>Jan</v>
      </c>
      <c r="C5" s="14">
        <v>4</v>
      </c>
      <c r="D5" s="14"/>
      <c r="E5" s="14">
        <v>8800</v>
      </c>
      <c r="F5" s="14">
        <v>3852</v>
      </c>
      <c r="G5" s="14"/>
      <c r="H5" s="14"/>
      <c r="I5" s="14"/>
      <c r="J5" s="14"/>
      <c r="K5" s="14"/>
      <c r="L5" s="29">
        <f t="shared" si="2"/>
        <v>12652</v>
      </c>
      <c r="M5" s="22"/>
      <c r="P5" t="s">
        <v>111</v>
      </c>
      <c r="Q5" s="91">
        <f>Q2/Q3</f>
        <v>10922.362573099415</v>
      </c>
      <c r="S5" s="64" t="s">
        <v>42</v>
      </c>
      <c r="T5" s="62">
        <f t="shared" si="3"/>
        <v>217024</v>
      </c>
    </row>
    <row r="6" spans="1:20" ht="19.5" x14ac:dyDescent="0.35">
      <c r="A6" s="87">
        <f t="shared" si="0"/>
        <v>46027</v>
      </c>
      <c r="B6" s="88" t="str">
        <f t="shared" si="1"/>
        <v>Jan</v>
      </c>
      <c r="C6" s="14">
        <v>5</v>
      </c>
      <c r="D6" s="44"/>
      <c r="E6" s="14">
        <v>5120</v>
      </c>
      <c r="F6" s="14">
        <v>8160</v>
      </c>
      <c r="G6" s="14"/>
      <c r="H6" s="14"/>
      <c r="I6" s="14"/>
      <c r="J6" s="14"/>
      <c r="K6" s="14"/>
      <c r="L6" s="29">
        <f t="shared" si="2"/>
        <v>13280</v>
      </c>
      <c r="M6" s="22"/>
      <c r="S6" s="64" t="s">
        <v>43</v>
      </c>
      <c r="T6" s="62">
        <f t="shared" si="3"/>
        <v>259084</v>
      </c>
    </row>
    <row r="7" spans="1:20" ht="19.5" x14ac:dyDescent="0.35">
      <c r="A7" s="87">
        <f t="shared" si="0"/>
        <v>46028</v>
      </c>
      <c r="B7" s="88" t="str">
        <f t="shared" si="1"/>
        <v>Jan</v>
      </c>
      <c r="C7" s="14">
        <v>6</v>
      </c>
      <c r="D7" s="46"/>
      <c r="E7" s="14"/>
      <c r="F7" s="45">
        <v>8340</v>
      </c>
      <c r="G7" s="14"/>
      <c r="H7" s="14"/>
      <c r="I7" s="14"/>
      <c r="J7" s="14"/>
      <c r="K7" s="14"/>
      <c r="L7" s="29">
        <f t="shared" si="2"/>
        <v>8340</v>
      </c>
      <c r="M7" s="22"/>
      <c r="S7" s="64" t="s">
        <v>44</v>
      </c>
      <c r="T7" s="62">
        <f t="shared" si="3"/>
        <v>268222</v>
      </c>
    </row>
    <row r="8" spans="1:20" ht="19.5" x14ac:dyDescent="0.35">
      <c r="A8" s="87">
        <f t="shared" si="0"/>
        <v>46029</v>
      </c>
      <c r="B8" s="88" t="str">
        <f t="shared" si="1"/>
        <v>Jan</v>
      </c>
      <c r="C8" s="14">
        <v>7</v>
      </c>
      <c r="D8" s="14"/>
      <c r="E8" s="45"/>
      <c r="F8" s="14">
        <v>8280</v>
      </c>
      <c r="G8" s="14"/>
      <c r="H8" s="14"/>
      <c r="I8" s="14"/>
      <c r="J8" s="14"/>
      <c r="K8" s="14"/>
      <c r="L8" s="29">
        <f t="shared" si="2"/>
        <v>8280</v>
      </c>
      <c r="M8" s="22"/>
      <c r="Q8" s="86"/>
      <c r="S8" s="64" t="s">
        <v>45</v>
      </c>
      <c r="T8" s="62">
        <f t="shared" si="3"/>
        <v>316664</v>
      </c>
    </row>
    <row r="9" spans="1:20" ht="19.5" x14ac:dyDescent="0.35">
      <c r="A9" s="87">
        <f t="shared" si="0"/>
        <v>46030</v>
      </c>
      <c r="B9" s="88" t="str">
        <f t="shared" si="1"/>
        <v>Jan</v>
      </c>
      <c r="C9" s="14">
        <v>8</v>
      </c>
      <c r="D9" s="44"/>
      <c r="E9" s="46"/>
      <c r="F9" s="14">
        <v>7740</v>
      </c>
      <c r="G9" s="14"/>
      <c r="H9" s="14"/>
      <c r="I9" s="14"/>
      <c r="J9" s="14"/>
      <c r="K9" s="14"/>
      <c r="L9" s="29">
        <f t="shared" si="2"/>
        <v>7740</v>
      </c>
      <c r="M9" s="22"/>
      <c r="S9" s="64" t="s">
        <v>46</v>
      </c>
      <c r="T9" s="62">
        <f t="shared" si="3"/>
        <v>268010</v>
      </c>
    </row>
    <row r="10" spans="1:20" ht="19.5" x14ac:dyDescent="0.35">
      <c r="A10" s="87">
        <f t="shared" si="0"/>
        <v>46031</v>
      </c>
      <c r="B10" s="88" t="str">
        <f t="shared" si="1"/>
        <v>Jan</v>
      </c>
      <c r="C10" s="14">
        <v>9</v>
      </c>
      <c r="D10" s="44"/>
      <c r="E10" s="46"/>
      <c r="F10" s="14"/>
      <c r="G10" s="14"/>
      <c r="H10" s="14"/>
      <c r="I10" s="14"/>
      <c r="J10" s="14"/>
      <c r="K10" s="14"/>
      <c r="L10" s="29">
        <f t="shared" si="2"/>
        <v>0</v>
      </c>
      <c r="M10" s="24" t="s">
        <v>6</v>
      </c>
      <c r="S10" s="64" t="s">
        <v>128</v>
      </c>
      <c r="T10" s="92">
        <f>AVERAGE(T3:T9)</f>
        <v>266817.71428571426</v>
      </c>
    </row>
    <row r="11" spans="1:20" ht="19.5" x14ac:dyDescent="0.35">
      <c r="A11" s="87">
        <f t="shared" si="0"/>
        <v>46032</v>
      </c>
      <c r="B11" s="88" t="str">
        <f t="shared" si="1"/>
        <v>Jan</v>
      </c>
      <c r="C11" s="14">
        <v>10</v>
      </c>
      <c r="D11" s="14"/>
      <c r="E11" s="14">
        <v>11776</v>
      </c>
      <c r="F11" s="14"/>
      <c r="G11" s="14"/>
      <c r="H11" s="14"/>
      <c r="I11" s="14"/>
      <c r="J11" s="14"/>
      <c r="K11" s="14"/>
      <c r="L11" s="29">
        <f t="shared" si="2"/>
        <v>11776</v>
      </c>
      <c r="M11" s="24"/>
    </row>
    <row r="12" spans="1:20" ht="19.5" x14ac:dyDescent="0.35">
      <c r="A12" s="87">
        <f t="shared" si="0"/>
        <v>46033</v>
      </c>
      <c r="B12" s="88" t="str">
        <f t="shared" si="1"/>
        <v>Jan</v>
      </c>
      <c r="C12" s="14">
        <v>11</v>
      </c>
      <c r="D12" s="14"/>
      <c r="E12" s="14"/>
      <c r="F12" s="14">
        <v>8172</v>
      </c>
      <c r="G12" s="14"/>
      <c r="H12" s="14"/>
      <c r="I12" s="14"/>
      <c r="J12" s="14"/>
      <c r="K12" s="14"/>
      <c r="L12" s="29">
        <f t="shared" si="2"/>
        <v>8172</v>
      </c>
      <c r="M12" s="25"/>
      <c r="S12" s="61" t="s">
        <v>90</v>
      </c>
      <c r="T12" s="63" t="s">
        <v>112</v>
      </c>
    </row>
    <row r="13" spans="1:20" ht="19.5" x14ac:dyDescent="0.35">
      <c r="A13" s="87">
        <f t="shared" si="0"/>
        <v>46034</v>
      </c>
      <c r="B13" s="88" t="str">
        <f t="shared" si="1"/>
        <v>Jan</v>
      </c>
      <c r="C13" s="14">
        <v>12</v>
      </c>
      <c r="D13" s="14"/>
      <c r="E13" s="14">
        <v>5040</v>
      </c>
      <c r="F13" s="14">
        <v>8520</v>
      </c>
      <c r="G13" s="14"/>
      <c r="H13" s="14"/>
      <c r="I13" s="14"/>
      <c r="J13" s="14"/>
      <c r="K13" s="14"/>
      <c r="L13" s="29">
        <f t="shared" si="2"/>
        <v>13560</v>
      </c>
      <c r="M13" s="24"/>
      <c r="S13" s="64" t="s">
        <v>103</v>
      </c>
      <c r="T13" s="62">
        <f>SUM(D2:D213)</f>
        <v>204952</v>
      </c>
    </row>
    <row r="14" spans="1:20" ht="19.5" x14ac:dyDescent="0.35">
      <c r="A14" s="87">
        <f t="shared" si="0"/>
        <v>46035</v>
      </c>
      <c r="B14" s="88" t="str">
        <f t="shared" si="1"/>
        <v>Jan</v>
      </c>
      <c r="C14" s="14">
        <v>13</v>
      </c>
      <c r="D14" s="14"/>
      <c r="E14" s="14">
        <v>5424</v>
      </c>
      <c r="F14" s="14">
        <v>8220</v>
      </c>
      <c r="G14" s="14"/>
      <c r="H14" s="14"/>
      <c r="I14" s="14"/>
      <c r="J14" s="14"/>
      <c r="K14" s="14"/>
      <c r="L14" s="29">
        <f t="shared" si="2"/>
        <v>13644</v>
      </c>
      <c r="M14" s="24"/>
      <c r="S14" s="64" t="s">
        <v>104</v>
      </c>
      <c r="T14" s="62">
        <f>SUM(E2:E213)</f>
        <v>465904</v>
      </c>
    </row>
    <row r="15" spans="1:20" ht="19.5" x14ac:dyDescent="0.35">
      <c r="A15" s="87">
        <f t="shared" si="0"/>
        <v>46036</v>
      </c>
      <c r="B15" s="88" t="str">
        <f t="shared" si="1"/>
        <v>Jan</v>
      </c>
      <c r="C15" s="14">
        <v>14</v>
      </c>
      <c r="D15" s="14"/>
      <c r="E15" s="14"/>
      <c r="F15" s="14">
        <v>8244</v>
      </c>
      <c r="G15" s="14"/>
      <c r="H15" s="14"/>
      <c r="I15" s="14"/>
      <c r="J15" s="14"/>
      <c r="K15" s="14"/>
      <c r="L15" s="29">
        <f t="shared" si="2"/>
        <v>8244</v>
      </c>
      <c r="M15" s="40"/>
      <c r="S15" s="64" t="s">
        <v>105</v>
      </c>
      <c r="T15" s="62">
        <f>SUM(F2:F213)</f>
        <v>1161480</v>
      </c>
    </row>
    <row r="16" spans="1:20" ht="19.5" x14ac:dyDescent="0.35">
      <c r="A16" s="87">
        <f t="shared" si="0"/>
        <v>46037</v>
      </c>
      <c r="B16" s="88" t="str">
        <f t="shared" si="1"/>
        <v>Jan</v>
      </c>
      <c r="C16" s="14">
        <v>15</v>
      </c>
      <c r="D16" s="14">
        <v>16192</v>
      </c>
      <c r="E16" s="14"/>
      <c r="F16" s="14"/>
      <c r="G16" s="14"/>
      <c r="H16" s="14"/>
      <c r="I16" s="14"/>
      <c r="J16" s="14"/>
      <c r="K16" s="14"/>
      <c r="L16" s="29">
        <f t="shared" si="2"/>
        <v>16192</v>
      </c>
      <c r="M16" s="24"/>
      <c r="S16" s="64" t="s">
        <v>106</v>
      </c>
      <c r="T16" s="62">
        <f>SUM(G2:G213)</f>
        <v>9480</v>
      </c>
    </row>
    <row r="17" spans="1:20" ht="18.75" x14ac:dyDescent="0.3">
      <c r="A17" s="87">
        <f t="shared" si="0"/>
        <v>46038</v>
      </c>
      <c r="B17" s="88" t="str">
        <f t="shared" si="1"/>
        <v>Jan</v>
      </c>
      <c r="C17" s="14">
        <v>16</v>
      </c>
      <c r="D17" s="14"/>
      <c r="E17" s="14"/>
      <c r="F17" s="14"/>
      <c r="G17" s="14"/>
      <c r="H17" s="14"/>
      <c r="I17" s="14"/>
      <c r="J17" s="14"/>
      <c r="K17" s="14"/>
      <c r="L17" s="29">
        <f t="shared" si="2"/>
        <v>0</v>
      </c>
      <c r="M17" s="39" t="s">
        <v>6</v>
      </c>
      <c r="S17" s="64" t="s">
        <v>107</v>
      </c>
      <c r="T17" s="62">
        <f>SUM(H2:H213)</f>
        <v>25908</v>
      </c>
    </row>
    <row r="18" spans="1:20" ht="18" customHeight="1" x14ac:dyDescent="0.35">
      <c r="A18" s="87">
        <f t="shared" si="0"/>
        <v>46039</v>
      </c>
      <c r="B18" s="88" t="str">
        <f t="shared" si="1"/>
        <v>Jan</v>
      </c>
      <c r="C18" s="14">
        <v>17</v>
      </c>
      <c r="D18" s="14"/>
      <c r="E18" s="14"/>
      <c r="F18" s="14">
        <v>7872</v>
      </c>
      <c r="G18" s="14"/>
      <c r="H18" s="14"/>
      <c r="I18" s="14"/>
      <c r="J18" s="14"/>
      <c r="K18" s="14"/>
      <c r="L18" s="29">
        <f t="shared" si="2"/>
        <v>7872</v>
      </c>
      <c r="M18" s="24"/>
      <c r="S18" s="64" t="s">
        <v>108</v>
      </c>
      <c r="T18" s="62">
        <f>SUM(I2:I213)</f>
        <v>0</v>
      </c>
    </row>
    <row r="19" spans="1:20" ht="19.5" x14ac:dyDescent="0.35">
      <c r="A19" s="87">
        <f t="shared" si="0"/>
        <v>46040</v>
      </c>
      <c r="B19" s="88" t="str">
        <f t="shared" si="1"/>
        <v>Jan</v>
      </c>
      <c r="C19" s="14">
        <v>18</v>
      </c>
      <c r="D19" s="14"/>
      <c r="E19" s="14">
        <v>10640</v>
      </c>
      <c r="F19" s="14"/>
      <c r="G19" s="14"/>
      <c r="H19" s="14"/>
      <c r="I19" s="14"/>
      <c r="J19" s="14"/>
      <c r="K19" s="14"/>
      <c r="L19" s="29">
        <f t="shared" si="2"/>
        <v>10640</v>
      </c>
      <c r="M19" s="24"/>
      <c r="S19" s="64" t="s">
        <v>7</v>
      </c>
      <c r="T19" s="62">
        <f>SUM(J2:J213)</f>
        <v>0</v>
      </c>
    </row>
    <row r="20" spans="1:20" ht="17.25" customHeight="1" x14ac:dyDescent="0.35">
      <c r="A20" s="87">
        <f t="shared" si="0"/>
        <v>46041</v>
      </c>
      <c r="B20" s="88" t="str">
        <f t="shared" si="1"/>
        <v>Jan</v>
      </c>
      <c r="C20" s="14">
        <v>19</v>
      </c>
      <c r="D20" s="14"/>
      <c r="E20" s="14"/>
      <c r="F20" s="14">
        <v>8268</v>
      </c>
      <c r="G20" s="14"/>
      <c r="H20" s="14"/>
      <c r="I20" s="14"/>
      <c r="J20" s="14"/>
      <c r="K20" s="14"/>
      <c r="L20" s="29">
        <f t="shared" si="2"/>
        <v>8268</v>
      </c>
      <c r="M20" s="26"/>
      <c r="S20" s="64" t="s">
        <v>3</v>
      </c>
      <c r="T20" s="62">
        <f>SUM(K2:K213)</f>
        <v>0</v>
      </c>
    </row>
    <row r="21" spans="1:20" ht="19.5" x14ac:dyDescent="0.35">
      <c r="A21" s="87">
        <f t="shared" si="0"/>
        <v>46042</v>
      </c>
      <c r="B21" s="88" t="str">
        <f t="shared" si="1"/>
        <v>Jan</v>
      </c>
      <c r="C21" s="14">
        <v>20</v>
      </c>
      <c r="D21" s="14"/>
      <c r="E21" s="14">
        <v>9440</v>
      </c>
      <c r="F21" s="14"/>
      <c r="G21" s="14"/>
      <c r="H21" s="14"/>
      <c r="I21" s="14"/>
      <c r="J21" s="14"/>
      <c r="K21" s="14"/>
      <c r="L21" s="29">
        <f t="shared" si="2"/>
        <v>9440</v>
      </c>
      <c r="M21" s="25"/>
    </row>
    <row r="22" spans="1:20" ht="19.5" x14ac:dyDescent="0.35">
      <c r="A22" s="87">
        <f t="shared" si="0"/>
        <v>46043</v>
      </c>
      <c r="B22" s="88" t="str">
        <f t="shared" si="1"/>
        <v>Jan</v>
      </c>
      <c r="C22" s="14">
        <v>21</v>
      </c>
      <c r="D22" s="14"/>
      <c r="E22" s="14"/>
      <c r="F22" s="14">
        <v>8400</v>
      </c>
      <c r="G22" s="14"/>
      <c r="H22" s="14"/>
      <c r="I22" s="14"/>
      <c r="J22" s="14"/>
      <c r="K22" s="14"/>
      <c r="L22" s="29">
        <f t="shared" si="2"/>
        <v>8400</v>
      </c>
      <c r="M22" s="24"/>
      <c r="S22" s="61"/>
      <c r="T22" s="61"/>
    </row>
    <row r="23" spans="1:20" ht="19.5" x14ac:dyDescent="0.35">
      <c r="A23" s="87">
        <f t="shared" si="0"/>
        <v>46044</v>
      </c>
      <c r="B23" s="88" t="str">
        <f t="shared" si="1"/>
        <v>Jan</v>
      </c>
      <c r="C23" s="14">
        <v>22</v>
      </c>
      <c r="D23" s="14"/>
      <c r="E23" s="14"/>
      <c r="F23" s="14">
        <v>8580</v>
      </c>
      <c r="G23" s="14"/>
      <c r="H23" s="14"/>
      <c r="I23" s="14"/>
      <c r="J23" s="14"/>
      <c r="K23" s="14"/>
      <c r="L23" s="29">
        <f t="shared" si="2"/>
        <v>8580</v>
      </c>
      <c r="M23" s="43"/>
      <c r="S23" s="93" t="s">
        <v>90</v>
      </c>
      <c r="T23" s="93" t="s">
        <v>113</v>
      </c>
    </row>
    <row r="24" spans="1:20" ht="18.75" x14ac:dyDescent="0.3">
      <c r="A24" s="87">
        <f t="shared" si="0"/>
        <v>46045</v>
      </c>
      <c r="B24" s="88" t="str">
        <f t="shared" si="1"/>
        <v>Jan</v>
      </c>
      <c r="C24" s="14">
        <v>23</v>
      </c>
      <c r="D24" s="14"/>
      <c r="E24" s="14"/>
      <c r="F24" s="14"/>
      <c r="G24" s="14"/>
      <c r="H24" s="14"/>
      <c r="I24" s="14"/>
      <c r="J24" s="14"/>
      <c r="K24" s="14"/>
      <c r="L24" s="29">
        <f t="shared" si="2"/>
        <v>0</v>
      </c>
      <c r="M24" s="41" t="s">
        <v>6</v>
      </c>
      <c r="S24" t="s">
        <v>103</v>
      </c>
      <c r="T24" s="94">
        <f>T13/$Q$2</f>
        <v>0.10973355806318279</v>
      </c>
    </row>
    <row r="25" spans="1:20" ht="19.5" x14ac:dyDescent="0.35">
      <c r="A25" s="87">
        <f t="shared" si="0"/>
        <v>46046</v>
      </c>
      <c r="B25" s="88" t="str">
        <f t="shared" si="1"/>
        <v>Jan</v>
      </c>
      <c r="C25" s="14">
        <v>24</v>
      </c>
      <c r="D25" s="14"/>
      <c r="E25" s="14"/>
      <c r="F25" s="14">
        <v>8244</v>
      </c>
      <c r="G25" s="14"/>
      <c r="H25" s="14"/>
      <c r="I25" s="14"/>
      <c r="J25" s="14"/>
      <c r="K25" s="14"/>
      <c r="L25" s="29">
        <f t="shared" si="2"/>
        <v>8244</v>
      </c>
      <c r="M25" s="26"/>
      <c r="S25" t="s">
        <v>104</v>
      </c>
      <c r="T25" s="94">
        <f t="shared" ref="T25:T31" si="4">T14/$Q$2</f>
        <v>0.24945013288901358</v>
      </c>
    </row>
    <row r="26" spans="1:20" ht="19.5" x14ac:dyDescent="0.35">
      <c r="A26" s="87">
        <f t="shared" si="0"/>
        <v>46047</v>
      </c>
      <c r="B26" s="88" t="str">
        <f t="shared" si="1"/>
        <v>Jan</v>
      </c>
      <c r="C26" s="14">
        <v>25</v>
      </c>
      <c r="D26" s="14"/>
      <c r="E26" s="14">
        <v>8400</v>
      </c>
      <c r="F26" s="14">
        <v>3528</v>
      </c>
      <c r="G26" s="14"/>
      <c r="H26" s="14"/>
      <c r="I26" s="14"/>
      <c r="J26" s="14"/>
      <c r="K26" s="14"/>
      <c r="L26" s="29">
        <f t="shared" si="2"/>
        <v>11928</v>
      </c>
      <c r="M26" s="26"/>
      <c r="S26" t="s">
        <v>105</v>
      </c>
      <c r="T26" s="94">
        <f t="shared" si="4"/>
        <v>0.62186918409786451</v>
      </c>
    </row>
    <row r="27" spans="1:20" ht="19.5" x14ac:dyDescent="0.35">
      <c r="A27" s="87">
        <f t="shared" si="0"/>
        <v>46048</v>
      </c>
      <c r="B27" s="88" t="str">
        <f t="shared" si="1"/>
        <v>Jan</v>
      </c>
      <c r="C27" s="14">
        <v>26</v>
      </c>
      <c r="D27" s="14"/>
      <c r="E27" s="14"/>
      <c r="F27" s="14">
        <v>8400</v>
      </c>
      <c r="G27" s="14"/>
      <c r="H27" s="14"/>
      <c r="I27" s="14"/>
      <c r="J27" s="14"/>
      <c r="K27" s="14"/>
      <c r="L27" s="29">
        <f t="shared" si="2"/>
        <v>8400</v>
      </c>
      <c r="M27" s="25"/>
      <c r="S27" t="s">
        <v>106</v>
      </c>
      <c r="T27" s="94">
        <f t="shared" si="4"/>
        <v>5.0756964091054138E-3</v>
      </c>
    </row>
    <row r="28" spans="1:20" ht="19.5" x14ac:dyDescent="0.35">
      <c r="A28" s="87">
        <f t="shared" si="0"/>
        <v>46049</v>
      </c>
      <c r="B28" s="88" t="str">
        <f t="shared" si="1"/>
        <v>Jan</v>
      </c>
      <c r="C28" s="14">
        <v>27</v>
      </c>
      <c r="D28" s="14"/>
      <c r="E28" s="14"/>
      <c r="F28" s="14">
        <v>8220</v>
      </c>
      <c r="G28" s="14"/>
      <c r="H28" s="14"/>
      <c r="I28" s="14"/>
      <c r="J28" s="14"/>
      <c r="K28" s="14"/>
      <c r="L28" s="29">
        <f t="shared" si="2"/>
        <v>8220</v>
      </c>
      <c r="M28" s="24"/>
      <c r="S28" t="s">
        <v>107</v>
      </c>
      <c r="T28" s="94">
        <f t="shared" si="4"/>
        <v>1.3871428540833656E-2</v>
      </c>
    </row>
    <row r="29" spans="1:20" ht="19.5" x14ac:dyDescent="0.35">
      <c r="A29" s="87">
        <f t="shared" si="0"/>
        <v>46050</v>
      </c>
      <c r="B29" s="88" t="str">
        <f t="shared" si="1"/>
        <v>Jan</v>
      </c>
      <c r="C29" s="14">
        <v>28</v>
      </c>
      <c r="D29" s="14"/>
      <c r="E29" s="14">
        <v>10160</v>
      </c>
      <c r="F29" s="14"/>
      <c r="G29" s="14"/>
      <c r="H29" s="14"/>
      <c r="I29" s="14"/>
      <c r="J29" s="14"/>
      <c r="K29" s="14"/>
      <c r="L29" s="29">
        <f t="shared" si="2"/>
        <v>10160</v>
      </c>
      <c r="M29" s="25"/>
      <c r="S29" t="s">
        <v>108</v>
      </c>
      <c r="T29" s="94">
        <f t="shared" si="4"/>
        <v>0</v>
      </c>
    </row>
    <row r="30" spans="1:20" ht="19.5" x14ac:dyDescent="0.35">
      <c r="A30" s="87">
        <f t="shared" si="0"/>
        <v>46051</v>
      </c>
      <c r="B30" s="88" t="str">
        <f t="shared" si="1"/>
        <v>Jan</v>
      </c>
      <c r="C30" s="14">
        <v>29</v>
      </c>
      <c r="D30" s="14">
        <v>13750</v>
      </c>
      <c r="E30" s="14"/>
      <c r="F30" s="14"/>
      <c r="G30" s="14"/>
      <c r="H30" s="14"/>
      <c r="I30" s="14"/>
      <c r="J30" s="14"/>
      <c r="K30" s="14"/>
      <c r="L30" s="29">
        <f t="shared" si="2"/>
        <v>13750</v>
      </c>
      <c r="M30" s="24"/>
      <c r="S30" t="s">
        <v>7</v>
      </c>
      <c r="T30" s="94">
        <f t="shared" si="4"/>
        <v>0</v>
      </c>
    </row>
    <row r="31" spans="1:20" ht="19.5" x14ac:dyDescent="0.35">
      <c r="A31" s="87">
        <f t="shared" si="0"/>
        <v>46052</v>
      </c>
      <c r="B31" s="88" t="str">
        <f t="shared" si="1"/>
        <v>Jan</v>
      </c>
      <c r="C31" s="14">
        <v>30</v>
      </c>
      <c r="D31" s="14"/>
      <c r="E31" s="14"/>
      <c r="F31" s="14"/>
      <c r="G31" s="14"/>
      <c r="H31" s="14"/>
      <c r="I31" s="14"/>
      <c r="J31" s="14"/>
      <c r="K31" s="14"/>
      <c r="L31" s="29">
        <f t="shared" si="2"/>
        <v>0</v>
      </c>
      <c r="M31" s="24" t="s">
        <v>6</v>
      </c>
      <c r="S31" t="s">
        <v>3</v>
      </c>
      <c r="T31" s="94">
        <f t="shared" si="4"/>
        <v>0</v>
      </c>
    </row>
    <row r="32" spans="1:20" ht="20.25" thickBot="1" x14ac:dyDescent="0.4">
      <c r="A32" s="87">
        <f t="shared" si="0"/>
        <v>46053</v>
      </c>
      <c r="B32" s="88" t="str">
        <f t="shared" si="1"/>
        <v>Jan</v>
      </c>
      <c r="C32" s="14">
        <v>31</v>
      </c>
      <c r="D32" s="19"/>
      <c r="E32" s="2"/>
      <c r="F32" s="19">
        <v>8376</v>
      </c>
      <c r="G32" s="19"/>
      <c r="H32" s="19"/>
      <c r="I32" s="19"/>
      <c r="J32" s="19"/>
      <c r="K32" s="2"/>
      <c r="L32" s="29">
        <f t="shared" si="2"/>
        <v>8376</v>
      </c>
      <c r="M32" s="27"/>
    </row>
    <row r="33" spans="1:20" ht="20.25" thickTop="1" x14ac:dyDescent="0.35">
      <c r="A33" s="90">
        <f>DATE(2026,2,C33)</f>
        <v>46054</v>
      </c>
      <c r="B33" t="str">
        <f>TEXT(A33,"mmm")</f>
        <v>Feb</v>
      </c>
      <c r="C33" s="10">
        <v>1</v>
      </c>
      <c r="D33" s="12"/>
      <c r="E33" s="2">
        <v>11872</v>
      </c>
      <c r="F33" s="13"/>
      <c r="G33" s="12"/>
      <c r="H33" s="2"/>
      <c r="I33" s="13"/>
      <c r="J33" s="12"/>
      <c r="K33" s="2"/>
      <c r="L33" s="29">
        <f>SUM(D33:K33)</f>
        <v>11872</v>
      </c>
      <c r="M33" s="23"/>
    </row>
    <row r="34" spans="1:20" ht="19.5" x14ac:dyDescent="0.35">
      <c r="A34" s="90">
        <f t="shared" ref="A34:A60" si="5">DATE(2026,2,C34)</f>
        <v>46055</v>
      </c>
      <c r="B34" t="str">
        <f t="shared" ref="B34:B97" si="6">TEXT(A34,"mmm")</f>
        <v>Feb</v>
      </c>
      <c r="C34" s="15">
        <v>2</v>
      </c>
      <c r="D34" s="14"/>
      <c r="E34" s="14"/>
      <c r="F34" s="14">
        <v>8028</v>
      </c>
      <c r="G34" s="14"/>
      <c r="H34" s="14"/>
      <c r="I34" s="14"/>
      <c r="J34" s="14"/>
      <c r="K34" s="14"/>
      <c r="L34" s="29">
        <f t="shared" ref="L34:L60" si="7">SUM(D34:K34)</f>
        <v>8028</v>
      </c>
      <c r="M34" s="24"/>
      <c r="S34" s="93" t="s">
        <v>90</v>
      </c>
      <c r="T34" s="63" t="s">
        <v>113</v>
      </c>
    </row>
    <row r="35" spans="1:20" ht="19.5" x14ac:dyDescent="0.35">
      <c r="A35" s="90">
        <f t="shared" si="5"/>
        <v>46056</v>
      </c>
      <c r="B35" t="str">
        <f t="shared" si="6"/>
        <v>Feb</v>
      </c>
      <c r="C35" s="15">
        <v>3</v>
      </c>
      <c r="D35" s="14"/>
      <c r="E35" s="14">
        <v>5040</v>
      </c>
      <c r="F35" s="14">
        <v>8208</v>
      </c>
      <c r="G35" s="14"/>
      <c r="H35" s="14"/>
      <c r="I35" s="14"/>
      <c r="J35" s="14"/>
      <c r="K35" s="14"/>
      <c r="L35" s="29">
        <f t="shared" si="7"/>
        <v>13248</v>
      </c>
      <c r="M35" s="25"/>
      <c r="S35" s="64" t="s">
        <v>103</v>
      </c>
      <c r="T35" s="95">
        <v>0.10970000000000001</v>
      </c>
    </row>
    <row r="36" spans="1:20" ht="19.5" x14ac:dyDescent="0.35">
      <c r="A36" s="90">
        <f t="shared" si="5"/>
        <v>46057</v>
      </c>
      <c r="B36" t="str">
        <f t="shared" si="6"/>
        <v>Feb</v>
      </c>
      <c r="C36" s="15">
        <v>4</v>
      </c>
      <c r="D36" s="14"/>
      <c r="E36" s="14"/>
      <c r="F36" s="14">
        <v>8580</v>
      </c>
      <c r="G36" s="14"/>
      <c r="H36" s="14"/>
      <c r="I36" s="14"/>
      <c r="J36" s="14"/>
      <c r="K36" s="14"/>
      <c r="L36" s="29">
        <f t="shared" si="7"/>
        <v>8580</v>
      </c>
      <c r="M36" s="22"/>
      <c r="S36" s="64" t="s">
        <v>104</v>
      </c>
      <c r="T36" s="95">
        <v>0.2495</v>
      </c>
    </row>
    <row r="37" spans="1:20" ht="19.5" x14ac:dyDescent="0.35">
      <c r="A37" s="90">
        <f t="shared" si="5"/>
        <v>46058</v>
      </c>
      <c r="B37" t="str">
        <f t="shared" si="6"/>
        <v>Feb</v>
      </c>
      <c r="C37" s="15">
        <v>5</v>
      </c>
      <c r="D37" s="44">
        <v>16170</v>
      </c>
      <c r="E37" s="14"/>
      <c r="F37" s="14"/>
      <c r="G37" s="14"/>
      <c r="H37" s="14"/>
      <c r="I37" s="14"/>
      <c r="J37" s="14"/>
      <c r="K37" s="14"/>
      <c r="L37" s="29">
        <f t="shared" si="7"/>
        <v>16170</v>
      </c>
      <c r="M37" s="22"/>
      <c r="S37" s="64" t="s">
        <v>105</v>
      </c>
      <c r="T37" s="95">
        <v>0.62190000000000001</v>
      </c>
    </row>
    <row r="38" spans="1:20" ht="19.5" x14ac:dyDescent="0.35">
      <c r="A38" s="90">
        <f t="shared" si="5"/>
        <v>46059</v>
      </c>
      <c r="B38" t="str">
        <f t="shared" si="6"/>
        <v>Feb</v>
      </c>
      <c r="C38" s="15">
        <v>6</v>
      </c>
      <c r="D38" s="46"/>
      <c r="E38" s="14"/>
      <c r="F38" s="45"/>
      <c r="G38" s="14"/>
      <c r="H38" s="14"/>
      <c r="I38" s="14"/>
      <c r="J38" s="14"/>
      <c r="K38" s="14"/>
      <c r="L38" s="29">
        <f t="shared" si="7"/>
        <v>0</v>
      </c>
      <c r="M38" s="22" t="s">
        <v>6</v>
      </c>
      <c r="S38" s="64" t="s">
        <v>106</v>
      </c>
      <c r="T38" s="95">
        <v>5.1000000000000004E-3</v>
      </c>
    </row>
    <row r="39" spans="1:20" ht="19.5" x14ac:dyDescent="0.35">
      <c r="A39" s="90">
        <f t="shared" si="5"/>
        <v>46060</v>
      </c>
      <c r="B39" t="str">
        <f t="shared" si="6"/>
        <v>Feb</v>
      </c>
      <c r="C39" s="15">
        <v>7</v>
      </c>
      <c r="D39" s="14"/>
      <c r="E39" s="45">
        <v>1200</v>
      </c>
      <c r="F39" s="14">
        <v>5520</v>
      </c>
      <c r="G39" s="14"/>
      <c r="H39" s="14"/>
      <c r="I39" s="14"/>
      <c r="J39" s="14"/>
      <c r="K39" s="14"/>
      <c r="L39" s="29">
        <f t="shared" si="7"/>
        <v>6720</v>
      </c>
      <c r="M39" s="22"/>
      <c r="S39" s="64" t="s">
        <v>107</v>
      </c>
      <c r="T39" s="95">
        <v>1.3899999999999999E-2</v>
      </c>
    </row>
    <row r="40" spans="1:20" ht="19.5" x14ac:dyDescent="0.35">
      <c r="A40" s="90">
        <f t="shared" si="5"/>
        <v>46061</v>
      </c>
      <c r="B40" t="str">
        <f t="shared" si="6"/>
        <v>Feb</v>
      </c>
      <c r="C40" s="15">
        <v>8</v>
      </c>
      <c r="D40" s="44"/>
      <c r="E40" s="46">
        <v>6720</v>
      </c>
      <c r="F40" s="14">
        <v>8832</v>
      </c>
      <c r="G40" s="14"/>
      <c r="H40" s="14"/>
      <c r="I40" s="14"/>
      <c r="J40" s="14"/>
      <c r="K40" s="14"/>
      <c r="L40" s="29">
        <f t="shared" si="7"/>
        <v>15552</v>
      </c>
      <c r="M40" s="22"/>
    </row>
    <row r="41" spans="1:20" ht="19.5" x14ac:dyDescent="0.35">
      <c r="A41" s="90">
        <f t="shared" si="5"/>
        <v>46062</v>
      </c>
      <c r="B41" t="str">
        <f t="shared" si="6"/>
        <v>Feb</v>
      </c>
      <c r="C41" s="16">
        <v>9</v>
      </c>
      <c r="D41" s="44"/>
      <c r="E41" s="46"/>
      <c r="F41" s="14">
        <v>6000</v>
      </c>
      <c r="G41" s="14"/>
      <c r="H41" s="14"/>
      <c r="I41" s="14"/>
      <c r="J41" s="14"/>
      <c r="K41" s="14"/>
      <c r="L41" s="29">
        <f t="shared" si="7"/>
        <v>6000</v>
      </c>
      <c r="M41" s="24"/>
      <c r="S41" s="61" t="s">
        <v>76</v>
      </c>
      <c r="T41" s="63" t="s">
        <v>83</v>
      </c>
    </row>
    <row r="42" spans="1:20" ht="19.5" x14ac:dyDescent="0.35">
      <c r="A42" s="90">
        <f t="shared" si="5"/>
        <v>46063</v>
      </c>
      <c r="B42" t="str">
        <f t="shared" si="6"/>
        <v>Feb</v>
      </c>
      <c r="C42" s="11">
        <v>10</v>
      </c>
      <c r="D42" s="14"/>
      <c r="E42" s="14">
        <v>5040</v>
      </c>
      <c r="F42" s="14">
        <v>8136</v>
      </c>
      <c r="G42" s="14"/>
      <c r="H42" s="14"/>
      <c r="I42" s="14"/>
      <c r="J42" s="14"/>
      <c r="K42" s="14"/>
      <c r="L42" s="29">
        <f t="shared" si="7"/>
        <v>13176</v>
      </c>
      <c r="M42" s="24"/>
      <c r="S42" s="64" t="s">
        <v>114</v>
      </c>
      <c r="T42" s="62">
        <f>SUMPRODUCT((WEEKDAY($A$2:$A$213,2)=ROW(A1))*($L$2:$L$213))</f>
        <v>330192</v>
      </c>
    </row>
    <row r="43" spans="1:20" ht="19.5" x14ac:dyDescent="0.35">
      <c r="A43" s="90">
        <f t="shared" si="5"/>
        <v>46064</v>
      </c>
      <c r="B43" t="str">
        <f t="shared" si="6"/>
        <v>Feb</v>
      </c>
      <c r="C43" s="15">
        <v>11</v>
      </c>
      <c r="D43" s="14"/>
      <c r="E43" s="14"/>
      <c r="F43" s="14">
        <v>10080</v>
      </c>
      <c r="G43" s="14"/>
      <c r="H43" s="14"/>
      <c r="I43" s="14"/>
      <c r="J43" s="14"/>
      <c r="K43" s="14"/>
      <c r="L43" s="29">
        <f t="shared" si="7"/>
        <v>10080</v>
      </c>
      <c r="M43" s="25"/>
      <c r="S43" s="64" t="s">
        <v>115</v>
      </c>
      <c r="T43" s="62">
        <f t="shared" ref="T43:T48" si="8">SUMPRODUCT((WEEKDAY($A$2:$A$213,2)=ROW(A2))*($L$2:$L$213))</f>
        <v>291340</v>
      </c>
    </row>
    <row r="44" spans="1:20" ht="19.5" x14ac:dyDescent="0.35">
      <c r="A44" s="90">
        <f t="shared" si="5"/>
        <v>46065</v>
      </c>
      <c r="B44" t="str">
        <f t="shared" si="6"/>
        <v>Feb</v>
      </c>
      <c r="C44" s="16">
        <v>12</v>
      </c>
      <c r="D44" s="14"/>
      <c r="E44" s="14"/>
      <c r="F44" s="14">
        <v>9480</v>
      </c>
      <c r="G44" s="14"/>
      <c r="H44" s="14"/>
      <c r="I44" s="14"/>
      <c r="J44" s="14"/>
      <c r="K44" s="14"/>
      <c r="L44" s="29">
        <f t="shared" si="7"/>
        <v>9480</v>
      </c>
      <c r="M44" s="24"/>
      <c r="S44" s="64" t="s">
        <v>116</v>
      </c>
      <c r="T44" s="62">
        <f t="shared" si="8"/>
        <v>292088</v>
      </c>
    </row>
    <row r="45" spans="1:20" ht="19.5" x14ac:dyDescent="0.35">
      <c r="A45" s="90">
        <f t="shared" si="5"/>
        <v>46066</v>
      </c>
      <c r="B45" t="str">
        <f t="shared" si="6"/>
        <v>Feb</v>
      </c>
      <c r="C45" s="11">
        <v>13</v>
      </c>
      <c r="D45" s="14"/>
      <c r="E45" s="14"/>
      <c r="F45" s="14"/>
      <c r="G45" s="14"/>
      <c r="H45" s="14"/>
      <c r="I45" s="14"/>
      <c r="J45" s="14"/>
      <c r="K45" s="14"/>
      <c r="L45" s="29">
        <f t="shared" si="7"/>
        <v>0</v>
      </c>
      <c r="M45" s="24" t="s">
        <v>6</v>
      </c>
      <c r="S45" s="64" t="s">
        <v>117</v>
      </c>
      <c r="T45" s="62">
        <f t="shared" si="8"/>
        <v>326360</v>
      </c>
    </row>
    <row r="46" spans="1:20" ht="19.5" x14ac:dyDescent="0.35">
      <c r="A46" s="90">
        <f t="shared" si="5"/>
        <v>46067</v>
      </c>
      <c r="B46" t="str">
        <f t="shared" si="6"/>
        <v>Feb</v>
      </c>
      <c r="C46" s="15">
        <v>14</v>
      </c>
      <c r="D46" s="14"/>
      <c r="E46" s="14">
        <v>6624</v>
      </c>
      <c r="F46" s="14">
        <v>10200</v>
      </c>
      <c r="G46" s="14"/>
      <c r="H46" s="14"/>
      <c r="I46" s="14"/>
      <c r="J46" s="14"/>
      <c r="K46" s="14"/>
      <c r="L46" s="29">
        <f t="shared" si="7"/>
        <v>16824</v>
      </c>
      <c r="M46" s="40"/>
      <c r="S46" s="64" t="s">
        <v>6</v>
      </c>
      <c r="T46" s="62">
        <f t="shared" si="8"/>
        <v>0</v>
      </c>
    </row>
    <row r="47" spans="1:20" ht="19.5" x14ac:dyDescent="0.35">
      <c r="A47" s="90">
        <f t="shared" si="5"/>
        <v>46068</v>
      </c>
      <c r="B47" t="str">
        <f t="shared" si="6"/>
        <v>Feb</v>
      </c>
      <c r="C47" s="15">
        <v>15</v>
      </c>
      <c r="D47" s="14"/>
      <c r="E47" s="14">
        <v>9984</v>
      </c>
      <c r="F47" s="14">
        <v>1260</v>
      </c>
      <c r="G47" s="14"/>
      <c r="H47" s="14"/>
      <c r="I47" s="14"/>
      <c r="J47" s="14"/>
      <c r="K47" s="14"/>
      <c r="L47" s="29">
        <f t="shared" si="7"/>
        <v>11244</v>
      </c>
      <c r="M47" s="24"/>
      <c r="S47" s="64" t="s">
        <v>118</v>
      </c>
      <c r="T47" s="62">
        <f t="shared" si="8"/>
        <v>313080</v>
      </c>
    </row>
    <row r="48" spans="1:20" ht="18.75" x14ac:dyDescent="0.3">
      <c r="A48" s="90">
        <f t="shared" si="5"/>
        <v>46069</v>
      </c>
      <c r="B48" t="str">
        <f t="shared" si="6"/>
        <v>Feb</v>
      </c>
      <c r="C48" s="15">
        <v>16</v>
      </c>
      <c r="D48" s="14"/>
      <c r="E48" s="14"/>
      <c r="F48" s="14">
        <v>10296</v>
      </c>
      <c r="G48" s="14"/>
      <c r="H48" s="14"/>
      <c r="I48" s="14"/>
      <c r="J48" s="14"/>
      <c r="K48" s="14"/>
      <c r="L48" s="29">
        <f t="shared" si="7"/>
        <v>10296</v>
      </c>
      <c r="M48" s="39"/>
      <c r="S48" s="64" t="s">
        <v>119</v>
      </c>
      <c r="T48" s="62">
        <f t="shared" si="8"/>
        <v>314664</v>
      </c>
    </row>
    <row r="49" spans="1:22" ht="19.5" x14ac:dyDescent="0.35">
      <c r="A49" s="90">
        <f t="shared" si="5"/>
        <v>46070</v>
      </c>
      <c r="B49" t="str">
        <f t="shared" si="6"/>
        <v>Feb</v>
      </c>
      <c r="C49" s="15">
        <v>17</v>
      </c>
      <c r="D49" s="14"/>
      <c r="E49" s="14"/>
      <c r="F49" s="14">
        <v>9180</v>
      </c>
      <c r="G49" s="14"/>
      <c r="H49" s="14"/>
      <c r="I49" s="14"/>
      <c r="J49" s="14"/>
      <c r="K49" s="14"/>
      <c r="L49" s="29">
        <f t="shared" si="7"/>
        <v>9180</v>
      </c>
      <c r="M49" s="24"/>
    </row>
    <row r="50" spans="1:22" ht="19.5" x14ac:dyDescent="0.35">
      <c r="A50" s="90">
        <f t="shared" si="5"/>
        <v>46071</v>
      </c>
      <c r="B50" t="str">
        <f t="shared" si="6"/>
        <v>Feb</v>
      </c>
      <c r="C50" s="16">
        <v>18</v>
      </c>
      <c r="D50" s="14"/>
      <c r="E50" s="14"/>
      <c r="F50" s="14">
        <v>10272</v>
      </c>
      <c r="G50" s="14"/>
      <c r="H50" s="14"/>
      <c r="I50" s="14"/>
      <c r="J50" s="14"/>
      <c r="K50" s="14"/>
      <c r="L50" s="29">
        <f t="shared" si="7"/>
        <v>10272</v>
      </c>
      <c r="M50" s="24"/>
      <c r="S50" s="61" t="s">
        <v>120</v>
      </c>
      <c r="T50" s="63" t="s">
        <v>121</v>
      </c>
    </row>
    <row r="51" spans="1:22" ht="19.5" x14ac:dyDescent="0.35">
      <c r="A51" s="90">
        <f t="shared" si="5"/>
        <v>46072</v>
      </c>
      <c r="B51" t="str">
        <f t="shared" si="6"/>
        <v>Feb</v>
      </c>
      <c r="C51" s="16">
        <v>19</v>
      </c>
      <c r="D51" s="14">
        <v>18084</v>
      </c>
      <c r="E51" s="14"/>
      <c r="F51" s="14"/>
      <c r="G51" s="14"/>
      <c r="H51" s="14"/>
      <c r="I51" s="14"/>
      <c r="J51" s="14"/>
      <c r="K51" s="14"/>
      <c r="L51" s="29">
        <f t="shared" si="7"/>
        <v>18084</v>
      </c>
      <c r="M51" s="26"/>
      <c r="S51" s="64" t="s">
        <v>122</v>
      </c>
      <c r="T51" s="62">
        <v>212</v>
      </c>
    </row>
    <row r="52" spans="1:22" ht="18" customHeight="1" x14ac:dyDescent="0.35">
      <c r="A52" s="90">
        <f t="shared" si="5"/>
        <v>46073</v>
      </c>
      <c r="B52" t="str">
        <f t="shared" si="6"/>
        <v>Feb</v>
      </c>
      <c r="C52" s="11">
        <v>20</v>
      </c>
      <c r="D52" s="14"/>
      <c r="E52" s="14"/>
      <c r="F52" s="14"/>
      <c r="G52" s="14"/>
      <c r="H52" s="14"/>
      <c r="I52" s="14"/>
      <c r="J52" s="14"/>
      <c r="K52" s="14"/>
      <c r="L52" s="29">
        <f t="shared" si="7"/>
        <v>0</v>
      </c>
      <c r="M52" s="25" t="s">
        <v>6</v>
      </c>
      <c r="S52" s="64" t="s">
        <v>109</v>
      </c>
      <c r="T52" s="62">
        <v>171</v>
      </c>
    </row>
    <row r="53" spans="1:22" ht="16.5" customHeight="1" x14ac:dyDescent="0.35">
      <c r="A53" s="90">
        <f t="shared" si="5"/>
        <v>46074</v>
      </c>
      <c r="B53" t="str">
        <f t="shared" si="6"/>
        <v>Feb</v>
      </c>
      <c r="C53" s="15">
        <v>21</v>
      </c>
      <c r="D53" s="14"/>
      <c r="E53" s="14">
        <v>12000</v>
      </c>
      <c r="F53" s="14"/>
      <c r="G53" s="14"/>
      <c r="H53" s="14"/>
      <c r="I53" s="14"/>
      <c r="J53" s="14"/>
      <c r="K53" s="14"/>
      <c r="L53" s="29">
        <f t="shared" si="7"/>
        <v>12000</v>
      </c>
      <c r="M53" s="24"/>
      <c r="S53" s="64" t="s">
        <v>110</v>
      </c>
      <c r="T53" s="62">
        <v>41</v>
      </c>
    </row>
    <row r="54" spans="1:22" ht="17.25" customHeight="1" x14ac:dyDescent="0.35">
      <c r="A54" s="90">
        <f t="shared" si="5"/>
        <v>46075</v>
      </c>
      <c r="B54" t="str">
        <f t="shared" si="6"/>
        <v>Feb</v>
      </c>
      <c r="C54" s="16">
        <v>22</v>
      </c>
      <c r="D54" s="14"/>
      <c r="E54" s="14"/>
      <c r="F54" s="14"/>
      <c r="G54" s="14"/>
      <c r="H54" s="14"/>
      <c r="I54" s="14"/>
      <c r="J54" s="14"/>
      <c r="K54" s="14"/>
      <c r="L54" s="29">
        <f t="shared" si="7"/>
        <v>0</v>
      </c>
      <c r="M54" s="43" t="s">
        <v>67</v>
      </c>
      <c r="S54" s="93" t="s">
        <v>123</v>
      </c>
      <c r="T54" s="95">
        <f>171/212</f>
        <v>0.80660377358490565</v>
      </c>
    </row>
    <row r="55" spans="1:22" ht="18.75" x14ac:dyDescent="0.3">
      <c r="A55" s="90">
        <f t="shared" si="5"/>
        <v>46076</v>
      </c>
      <c r="B55" t="str">
        <f t="shared" si="6"/>
        <v>Feb</v>
      </c>
      <c r="C55" s="18">
        <v>23</v>
      </c>
      <c r="D55" s="14"/>
      <c r="E55" s="14">
        <v>5456</v>
      </c>
      <c r="F55" s="14">
        <v>10260</v>
      </c>
      <c r="G55" s="14"/>
      <c r="H55" s="14"/>
      <c r="I55" s="14"/>
      <c r="J55" s="14"/>
      <c r="K55" s="14"/>
      <c r="L55" s="29">
        <f t="shared" si="7"/>
        <v>15716</v>
      </c>
      <c r="M55" s="41"/>
      <c r="S55" s="64" t="s">
        <v>124</v>
      </c>
      <c r="T55" s="96">
        <v>0.193</v>
      </c>
    </row>
    <row r="56" spans="1:22" ht="19.5" x14ac:dyDescent="0.35">
      <c r="A56" s="90">
        <f t="shared" si="5"/>
        <v>46077</v>
      </c>
      <c r="B56" t="str">
        <f t="shared" si="6"/>
        <v>Feb</v>
      </c>
      <c r="C56" s="18">
        <v>24</v>
      </c>
      <c r="D56" s="14"/>
      <c r="E56" s="14"/>
      <c r="F56" s="14">
        <v>9300</v>
      </c>
      <c r="G56" s="14"/>
      <c r="H56" s="14"/>
      <c r="I56" s="14"/>
      <c r="J56" s="14"/>
      <c r="K56" s="14"/>
      <c r="L56" s="29">
        <f t="shared" si="7"/>
        <v>9300</v>
      </c>
      <c r="M56" s="26"/>
    </row>
    <row r="57" spans="1:22" ht="19.5" x14ac:dyDescent="0.35">
      <c r="A57" s="90">
        <f t="shared" si="5"/>
        <v>46078</v>
      </c>
      <c r="B57" t="str">
        <f t="shared" si="6"/>
        <v>Feb</v>
      </c>
      <c r="C57" s="18">
        <v>25</v>
      </c>
      <c r="D57" s="14"/>
      <c r="E57" s="14">
        <v>5040</v>
      </c>
      <c r="F57" s="14">
        <v>8640</v>
      </c>
      <c r="G57" s="14"/>
      <c r="H57" s="14"/>
      <c r="I57" s="14"/>
      <c r="J57" s="14"/>
      <c r="K57" s="14"/>
      <c r="L57" s="29">
        <f t="shared" si="7"/>
        <v>13680</v>
      </c>
      <c r="M57" s="26"/>
      <c r="S57" s="61" t="s">
        <v>125</v>
      </c>
      <c r="T57" s="63" t="s">
        <v>126</v>
      </c>
    </row>
    <row r="58" spans="1:22" ht="19.5" x14ac:dyDescent="0.35">
      <c r="A58" s="90">
        <f t="shared" si="5"/>
        <v>46079</v>
      </c>
      <c r="B58" t="str">
        <f t="shared" si="6"/>
        <v>Feb</v>
      </c>
      <c r="C58" s="18">
        <v>26</v>
      </c>
      <c r="D58" s="14"/>
      <c r="E58" s="14"/>
      <c r="F58" s="14">
        <v>9240</v>
      </c>
      <c r="G58" s="14"/>
      <c r="H58" s="14"/>
      <c r="I58" s="14"/>
      <c r="J58" s="14"/>
      <c r="K58" s="14"/>
      <c r="L58" s="29">
        <f t="shared" si="7"/>
        <v>9240</v>
      </c>
      <c r="M58" s="25"/>
      <c r="S58" s="64" t="s">
        <v>109</v>
      </c>
      <c r="T58" s="62">
        <v>171</v>
      </c>
    </row>
    <row r="59" spans="1:22" ht="19.5" x14ac:dyDescent="0.35">
      <c r="A59" s="90">
        <f t="shared" si="5"/>
        <v>46080</v>
      </c>
      <c r="B59" t="str">
        <f t="shared" si="6"/>
        <v>Feb</v>
      </c>
      <c r="C59" s="18">
        <v>27</v>
      </c>
      <c r="D59" s="14"/>
      <c r="E59" s="14"/>
      <c r="F59" s="14"/>
      <c r="G59" s="14"/>
      <c r="H59" s="14"/>
      <c r="I59" s="14"/>
      <c r="J59" s="14"/>
      <c r="K59" s="14"/>
      <c r="L59" s="29">
        <f t="shared" si="7"/>
        <v>0</v>
      </c>
      <c r="M59" s="24" t="s">
        <v>6</v>
      </c>
      <c r="S59" s="64" t="s">
        <v>110</v>
      </c>
      <c r="T59" s="62">
        <v>41</v>
      </c>
    </row>
    <row r="60" spans="1:22" ht="20.25" thickBot="1" x14ac:dyDescent="0.4">
      <c r="A60" s="90">
        <f t="shared" si="5"/>
        <v>46081</v>
      </c>
      <c r="B60" t="str">
        <f t="shared" si="6"/>
        <v>Feb</v>
      </c>
      <c r="C60" s="11">
        <v>28</v>
      </c>
      <c r="D60" s="14"/>
      <c r="E60" s="14">
        <v>11360</v>
      </c>
      <c r="F60" s="14"/>
      <c r="G60" s="14"/>
      <c r="H60" s="14"/>
      <c r="I60" s="14"/>
      <c r="J60" s="14"/>
      <c r="K60" s="14"/>
      <c r="L60" s="29">
        <f t="shared" si="7"/>
        <v>11360</v>
      </c>
      <c r="M60" s="25"/>
    </row>
    <row r="61" spans="1:22" ht="20.25" thickTop="1" x14ac:dyDescent="0.35">
      <c r="A61" s="90">
        <f>DATE(2026,3,C61)</f>
        <v>46082</v>
      </c>
      <c r="B61" t="str">
        <f t="shared" si="6"/>
        <v>Mar</v>
      </c>
      <c r="C61" s="10">
        <v>1</v>
      </c>
      <c r="D61" s="12"/>
      <c r="E61" s="2">
        <v>3520</v>
      </c>
      <c r="F61" s="13">
        <v>9300</v>
      </c>
      <c r="G61" s="12"/>
      <c r="H61" s="2"/>
      <c r="I61" s="13"/>
      <c r="J61" s="12"/>
      <c r="K61" s="2"/>
      <c r="L61" s="29">
        <f>SUM(D61:K61)</f>
        <v>12820</v>
      </c>
      <c r="M61" s="23"/>
    </row>
    <row r="62" spans="1:22" ht="26.25" customHeight="1" x14ac:dyDescent="0.35">
      <c r="A62" s="90">
        <f t="shared" ref="A62:A91" si="9">DATE(2026,3,C62)</f>
        <v>46083</v>
      </c>
      <c r="B62" t="str">
        <f t="shared" si="6"/>
        <v>Mar</v>
      </c>
      <c r="C62" s="15">
        <v>2</v>
      </c>
      <c r="D62" s="14"/>
      <c r="E62" s="14"/>
      <c r="F62" s="14">
        <v>9360</v>
      </c>
      <c r="G62" s="14"/>
      <c r="H62" s="14"/>
      <c r="I62" s="14"/>
      <c r="J62" s="14"/>
      <c r="K62" s="14"/>
      <c r="L62" s="29">
        <f t="shared" ref="L62:L91" si="10">SUM(D62:K62)</f>
        <v>9360</v>
      </c>
      <c r="M62" s="24"/>
      <c r="S62" s="61" t="s">
        <v>32</v>
      </c>
      <c r="T62" s="63" t="s">
        <v>83</v>
      </c>
      <c r="U62" s="63" t="s">
        <v>109</v>
      </c>
      <c r="V62" s="63" t="s">
        <v>127</v>
      </c>
    </row>
    <row r="63" spans="1:22" ht="19.5" x14ac:dyDescent="0.35">
      <c r="A63" s="90">
        <f t="shared" si="9"/>
        <v>46084</v>
      </c>
      <c r="B63" t="str">
        <f t="shared" si="6"/>
        <v>Mar</v>
      </c>
      <c r="C63" s="15">
        <v>3</v>
      </c>
      <c r="D63" s="14"/>
      <c r="E63" s="14"/>
      <c r="F63" s="14">
        <v>660</v>
      </c>
      <c r="G63" s="14"/>
      <c r="H63" s="14"/>
      <c r="I63" s="14"/>
      <c r="J63" s="14"/>
      <c r="K63" s="14"/>
      <c r="L63" s="29">
        <f t="shared" si="10"/>
        <v>660</v>
      </c>
      <c r="M63" s="25" t="s">
        <v>70</v>
      </c>
      <c r="S63" s="64" t="s">
        <v>40</v>
      </c>
      <c r="T63" s="62">
        <f>SUMIF($B$2:$B$213,LEFT(S63,3),$L$2:$L$213)</f>
        <v>272618</v>
      </c>
      <c r="U63" s="62">
        <f>COUNTIFS($A$2:$A$213,"&gt;="&amp;DATE(2026,1,1),$A$2:$A$213,"&lt;"&amp;DATE(2026,2,1),$L$2:$L$213,"&gt;0")</f>
        <v>26</v>
      </c>
      <c r="V63" s="97">
        <f>T63/U63</f>
        <v>10485.307692307691</v>
      </c>
    </row>
    <row r="64" spans="1:22" ht="19.5" x14ac:dyDescent="0.35">
      <c r="A64" s="90">
        <f t="shared" si="9"/>
        <v>46085</v>
      </c>
      <c r="B64" t="str">
        <f t="shared" si="6"/>
        <v>Mar</v>
      </c>
      <c r="C64" s="15">
        <v>4</v>
      </c>
      <c r="D64" s="14"/>
      <c r="E64" s="14"/>
      <c r="F64" s="14">
        <v>10152</v>
      </c>
      <c r="G64" s="14"/>
      <c r="H64" s="14"/>
      <c r="I64" s="14"/>
      <c r="J64" s="14"/>
      <c r="K64" s="14"/>
      <c r="L64" s="29">
        <f t="shared" si="10"/>
        <v>10152</v>
      </c>
      <c r="M64" s="22"/>
      <c r="S64" s="64" t="s">
        <v>41</v>
      </c>
      <c r="T64" s="62">
        <f t="shared" ref="T64:T69" si="11">SUMIF($B$2:$B$213,LEFT(S64,3),$L$2:$L$213)</f>
        <v>266102</v>
      </c>
      <c r="U64" s="62">
        <f>COUNTIFS($A$2:$A$213,"&gt;="&amp;DATE(2026,2,1),$A$2:$A$213,"&lt;"&amp;DATE(2026,3,1),$L$2:$L$213,"&gt;0")</f>
        <v>23</v>
      </c>
      <c r="V64" s="97">
        <f t="shared" ref="V64:V69" si="12">T64/U64</f>
        <v>11569.652173913044</v>
      </c>
    </row>
    <row r="65" spans="1:22" ht="19.5" x14ac:dyDescent="0.35">
      <c r="A65" s="90">
        <f t="shared" si="9"/>
        <v>46086</v>
      </c>
      <c r="B65" t="str">
        <f t="shared" si="6"/>
        <v>Mar</v>
      </c>
      <c r="C65" s="15">
        <v>5</v>
      </c>
      <c r="D65" s="14">
        <v>16280</v>
      </c>
      <c r="E65" s="14"/>
      <c r="F65" s="14"/>
      <c r="G65" s="14"/>
      <c r="H65" s="14"/>
      <c r="I65" s="14"/>
      <c r="J65" s="14"/>
      <c r="K65" s="14"/>
      <c r="L65" s="29">
        <f t="shared" si="10"/>
        <v>16280</v>
      </c>
      <c r="M65" s="22"/>
      <c r="S65" s="64" t="s">
        <v>42</v>
      </c>
      <c r="T65" s="62">
        <f t="shared" si="11"/>
        <v>217024</v>
      </c>
      <c r="U65" s="62">
        <f>COUNTIFS($A$2:$A$213,"&gt;="&amp;DATE(2026,3,1),$A$2:$A$213,"&lt;"&amp;DATE(2026,4,1),$L$2:$L$213,"&gt;0")</f>
        <v>22</v>
      </c>
      <c r="V65" s="97">
        <f t="shared" si="12"/>
        <v>9864.7272727272721</v>
      </c>
    </row>
    <row r="66" spans="1:22" ht="19.5" x14ac:dyDescent="0.35">
      <c r="A66" s="90">
        <f t="shared" si="9"/>
        <v>46087</v>
      </c>
      <c r="B66" t="str">
        <f t="shared" si="6"/>
        <v>Mar</v>
      </c>
      <c r="C66" s="15">
        <v>6</v>
      </c>
      <c r="D66" s="46"/>
      <c r="E66" s="14"/>
      <c r="F66" s="45"/>
      <c r="G66" s="14"/>
      <c r="H66" s="14"/>
      <c r="I66" s="14"/>
      <c r="J66" s="14"/>
      <c r="K66" s="14"/>
      <c r="L66" s="29">
        <f t="shared" si="10"/>
        <v>0</v>
      </c>
      <c r="M66" s="22" t="s">
        <v>6</v>
      </c>
      <c r="S66" s="64" t="s">
        <v>43</v>
      </c>
      <c r="T66" s="62">
        <f t="shared" si="11"/>
        <v>259084</v>
      </c>
      <c r="U66" s="62">
        <f>COUNTIFS($A$2:$A$213,"&gt;="&amp;DATE(2026,4,1),$A$2:$A$213,"&lt;"&amp;DATE(2026,5,1),$L$2:$L$213,"&gt;0")</f>
        <v>26</v>
      </c>
      <c r="V66" s="97">
        <f t="shared" si="12"/>
        <v>9964.7692307692305</v>
      </c>
    </row>
    <row r="67" spans="1:22" ht="19.5" x14ac:dyDescent="0.35">
      <c r="A67" s="90">
        <f t="shared" si="9"/>
        <v>46088</v>
      </c>
      <c r="B67" t="str">
        <f t="shared" si="6"/>
        <v>Mar</v>
      </c>
      <c r="C67" s="15">
        <v>7</v>
      </c>
      <c r="D67" s="14"/>
      <c r="E67" s="45"/>
      <c r="F67" s="14">
        <v>9480</v>
      </c>
      <c r="G67" s="14"/>
      <c r="H67" s="14"/>
      <c r="I67" s="14"/>
      <c r="J67" s="14"/>
      <c r="K67" s="14"/>
      <c r="L67" s="29">
        <f t="shared" si="10"/>
        <v>9480</v>
      </c>
      <c r="M67" s="22"/>
      <c r="S67" s="64" t="s">
        <v>44</v>
      </c>
      <c r="T67" s="62">
        <f t="shared" si="11"/>
        <v>268222</v>
      </c>
      <c r="U67" s="62">
        <f>COUNTIFS($A$2:$A$213,"&gt;="&amp;DATE(2026,5,1),$A$2:$A$213,"&lt;"&amp;DATE(2026,6,1),$L$2:$L$213,"&gt;0")</f>
        <v>22</v>
      </c>
      <c r="V67" s="97">
        <f t="shared" si="12"/>
        <v>12191.90909090909</v>
      </c>
    </row>
    <row r="68" spans="1:22" ht="19.5" x14ac:dyDescent="0.35">
      <c r="A68" s="90">
        <f t="shared" si="9"/>
        <v>46089</v>
      </c>
      <c r="B68" t="str">
        <f t="shared" si="6"/>
        <v>Mar</v>
      </c>
      <c r="C68" s="15">
        <v>8</v>
      </c>
      <c r="D68" s="44"/>
      <c r="E68" s="46">
        <v>4960</v>
      </c>
      <c r="F68" s="14">
        <v>9060</v>
      </c>
      <c r="G68" s="14"/>
      <c r="H68" s="14"/>
      <c r="I68" s="14"/>
      <c r="J68" s="14"/>
      <c r="K68" s="14"/>
      <c r="L68" s="29">
        <f t="shared" si="10"/>
        <v>14020</v>
      </c>
      <c r="M68" s="22"/>
      <c r="S68" s="64" t="s">
        <v>45</v>
      </c>
      <c r="T68" s="62">
        <f t="shared" si="11"/>
        <v>316664</v>
      </c>
      <c r="U68" s="62">
        <f>COUNTIFS($A$2:$A$213,"&gt;="&amp;DATE(2026,6,1),$A$2:$A$213,"&lt;"&amp;DATE(2026,7,1),$L$2:$L$213,"&gt;0")</f>
        <v>26</v>
      </c>
      <c r="V68" s="97">
        <f t="shared" si="12"/>
        <v>12179.384615384615</v>
      </c>
    </row>
    <row r="69" spans="1:22" ht="19.5" x14ac:dyDescent="0.35">
      <c r="A69" s="90">
        <f t="shared" si="9"/>
        <v>46090</v>
      </c>
      <c r="B69" t="str">
        <f t="shared" si="6"/>
        <v>Mar</v>
      </c>
      <c r="C69" s="16">
        <v>9</v>
      </c>
      <c r="D69" s="44"/>
      <c r="E69" s="46"/>
      <c r="F69" s="14">
        <v>9564</v>
      </c>
      <c r="G69" s="14"/>
      <c r="H69" s="14"/>
      <c r="I69" s="14"/>
      <c r="J69" s="14"/>
      <c r="K69" s="14"/>
      <c r="L69" s="29">
        <f t="shared" si="10"/>
        <v>9564</v>
      </c>
      <c r="M69" s="24"/>
      <c r="S69" s="64" t="s">
        <v>46</v>
      </c>
      <c r="T69" s="62">
        <f t="shared" si="11"/>
        <v>268010</v>
      </c>
      <c r="U69" s="62">
        <f>COUNTIFS($A$2:$A$213,"&gt;="&amp;DATE(2026,7,1),$A$2:$A$213,"&lt;"&amp;DATE(2026,8,1),$L$2:$L$213,"&gt;0")</f>
        <v>26</v>
      </c>
      <c r="V69" s="97">
        <f t="shared" si="12"/>
        <v>10308.076923076924</v>
      </c>
    </row>
    <row r="70" spans="1:22" ht="19.5" x14ac:dyDescent="0.35">
      <c r="A70" s="90">
        <f t="shared" si="9"/>
        <v>46091</v>
      </c>
      <c r="B70" t="str">
        <f t="shared" si="6"/>
        <v>Mar</v>
      </c>
      <c r="C70" s="11">
        <v>10</v>
      </c>
      <c r="D70" s="14"/>
      <c r="E70" s="14"/>
      <c r="F70" s="14"/>
      <c r="G70" s="14"/>
      <c r="H70" s="14"/>
      <c r="I70" s="14"/>
      <c r="J70" s="14"/>
      <c r="K70" s="14"/>
      <c r="L70" s="29">
        <f t="shared" si="10"/>
        <v>0</v>
      </c>
      <c r="M70" s="24" t="s">
        <v>70</v>
      </c>
    </row>
    <row r="71" spans="1:22" ht="19.5" x14ac:dyDescent="0.35">
      <c r="A71" s="90">
        <f t="shared" si="9"/>
        <v>46092</v>
      </c>
      <c r="B71" t="str">
        <f t="shared" si="6"/>
        <v>Mar</v>
      </c>
      <c r="C71" s="15">
        <v>11</v>
      </c>
      <c r="D71" s="14"/>
      <c r="E71" s="14">
        <v>3872</v>
      </c>
      <c r="F71" s="14">
        <v>7908</v>
      </c>
      <c r="G71" s="14"/>
      <c r="H71" s="14"/>
      <c r="I71" s="14"/>
      <c r="J71" s="14"/>
      <c r="K71" s="14"/>
      <c r="L71" s="29">
        <f t="shared" si="10"/>
        <v>11780</v>
      </c>
      <c r="M71" s="25"/>
    </row>
    <row r="72" spans="1:22" ht="19.5" x14ac:dyDescent="0.35">
      <c r="A72" s="90">
        <f t="shared" si="9"/>
        <v>46093</v>
      </c>
      <c r="B72" t="str">
        <f t="shared" si="6"/>
        <v>Mar</v>
      </c>
      <c r="C72" s="16">
        <v>12</v>
      </c>
      <c r="D72" s="14"/>
      <c r="E72" s="14">
        <v>4720</v>
      </c>
      <c r="F72" s="14">
        <v>8256</v>
      </c>
      <c r="G72" s="14"/>
      <c r="H72" s="14"/>
      <c r="I72" s="14"/>
      <c r="J72" s="14"/>
      <c r="K72" s="14"/>
      <c r="L72" s="29">
        <f t="shared" si="10"/>
        <v>12976</v>
      </c>
      <c r="M72" s="24"/>
    </row>
    <row r="73" spans="1:22" ht="19.5" x14ac:dyDescent="0.35">
      <c r="A73" s="90">
        <f t="shared" si="9"/>
        <v>46094</v>
      </c>
      <c r="B73" t="str">
        <f t="shared" si="6"/>
        <v>Mar</v>
      </c>
      <c r="C73" s="11">
        <v>13</v>
      </c>
      <c r="D73" s="14"/>
      <c r="E73" s="14"/>
      <c r="F73" s="14"/>
      <c r="G73" s="14"/>
      <c r="H73" s="14"/>
      <c r="I73" s="14"/>
      <c r="J73" s="14"/>
      <c r="K73" s="14"/>
      <c r="L73" s="29">
        <f t="shared" si="10"/>
        <v>0</v>
      </c>
      <c r="M73" s="24" t="s">
        <v>6</v>
      </c>
    </row>
    <row r="74" spans="1:22" ht="19.5" x14ac:dyDescent="0.35">
      <c r="A74" s="90">
        <f t="shared" si="9"/>
        <v>46095</v>
      </c>
      <c r="B74" t="str">
        <f t="shared" si="6"/>
        <v>Mar</v>
      </c>
      <c r="C74" s="15">
        <v>14</v>
      </c>
      <c r="D74" s="14"/>
      <c r="E74" s="14">
        <v>12128</v>
      </c>
      <c r="F74" s="14"/>
      <c r="G74" s="14"/>
      <c r="H74" s="14"/>
      <c r="I74" s="14"/>
      <c r="J74" s="14"/>
      <c r="K74" s="14"/>
      <c r="L74" s="29">
        <f t="shared" si="10"/>
        <v>12128</v>
      </c>
      <c r="M74" s="40"/>
    </row>
    <row r="75" spans="1:22" ht="19.5" x14ac:dyDescent="0.35">
      <c r="A75" s="90">
        <f t="shared" si="9"/>
        <v>46096</v>
      </c>
      <c r="B75" t="str">
        <f t="shared" si="6"/>
        <v>Mar</v>
      </c>
      <c r="C75" s="15">
        <v>15</v>
      </c>
      <c r="D75" s="14"/>
      <c r="E75" s="14"/>
      <c r="F75" s="14">
        <v>9216</v>
      </c>
      <c r="G75" s="14"/>
      <c r="H75" s="14"/>
      <c r="I75" s="14"/>
      <c r="J75" s="14"/>
      <c r="K75" s="14"/>
      <c r="L75" s="29">
        <f t="shared" si="10"/>
        <v>9216</v>
      </c>
      <c r="M75" s="24"/>
    </row>
    <row r="76" spans="1:22" ht="18.75" x14ac:dyDescent="0.3">
      <c r="A76" s="90">
        <f t="shared" si="9"/>
        <v>46097</v>
      </c>
      <c r="B76" t="str">
        <f t="shared" si="6"/>
        <v>Mar</v>
      </c>
      <c r="C76" s="15">
        <v>16</v>
      </c>
      <c r="D76" s="14"/>
      <c r="E76" s="14"/>
      <c r="F76" s="14">
        <v>9240</v>
      </c>
      <c r="G76" s="14"/>
      <c r="H76" s="14"/>
      <c r="I76" s="14"/>
      <c r="J76" s="14"/>
      <c r="K76" s="14"/>
      <c r="L76" s="29">
        <f t="shared" si="10"/>
        <v>9240</v>
      </c>
      <c r="M76" s="39"/>
      <c r="T76" t="s">
        <v>129</v>
      </c>
    </row>
    <row r="77" spans="1:22" ht="19.5" x14ac:dyDescent="0.35">
      <c r="A77" s="90">
        <f t="shared" si="9"/>
        <v>46098</v>
      </c>
      <c r="B77" t="str">
        <f t="shared" si="6"/>
        <v>Mar</v>
      </c>
      <c r="C77" s="15">
        <v>17</v>
      </c>
      <c r="D77" s="14"/>
      <c r="E77" s="14"/>
      <c r="F77" s="14">
        <v>8256</v>
      </c>
      <c r="G77" s="14"/>
      <c r="H77" s="14"/>
      <c r="I77" s="14"/>
      <c r="J77" s="14"/>
      <c r="K77" s="14"/>
      <c r="L77" s="29">
        <f t="shared" si="10"/>
        <v>8256</v>
      </c>
      <c r="M77" s="24"/>
    </row>
    <row r="78" spans="1:22" ht="19.5" x14ac:dyDescent="0.35">
      <c r="A78" s="90">
        <f t="shared" si="9"/>
        <v>46099</v>
      </c>
      <c r="B78" t="str">
        <f t="shared" si="6"/>
        <v>Mar</v>
      </c>
      <c r="C78" s="16">
        <v>18</v>
      </c>
      <c r="D78" s="14"/>
      <c r="E78" s="14"/>
      <c r="F78" s="14"/>
      <c r="G78" s="14">
        <v>9480</v>
      </c>
      <c r="H78" s="14"/>
      <c r="I78" s="14"/>
      <c r="J78" s="14"/>
      <c r="K78" s="14"/>
      <c r="L78" s="29">
        <f t="shared" si="10"/>
        <v>9480</v>
      </c>
      <c r="M78" s="24"/>
    </row>
    <row r="79" spans="1:22" ht="19.5" x14ac:dyDescent="0.35">
      <c r="A79" s="90">
        <f t="shared" si="9"/>
        <v>46100</v>
      </c>
      <c r="B79" t="str">
        <f t="shared" si="6"/>
        <v>Mar</v>
      </c>
      <c r="C79" s="16">
        <v>19</v>
      </c>
      <c r="D79" s="14"/>
      <c r="E79" s="14"/>
      <c r="F79" s="14"/>
      <c r="G79" s="14"/>
      <c r="H79" s="14"/>
      <c r="I79" s="14"/>
      <c r="J79" s="14"/>
      <c r="K79" s="14"/>
      <c r="L79" s="29">
        <f t="shared" si="10"/>
        <v>0</v>
      </c>
      <c r="M79" s="26" t="s">
        <v>73</v>
      </c>
    </row>
    <row r="80" spans="1:22" ht="19.5" x14ac:dyDescent="0.35">
      <c r="A80" s="90">
        <f t="shared" si="9"/>
        <v>46101</v>
      </c>
      <c r="B80" t="str">
        <f t="shared" si="6"/>
        <v>Mar</v>
      </c>
      <c r="C80" s="11">
        <v>20</v>
      </c>
      <c r="D80" s="14"/>
      <c r="E80" s="14"/>
      <c r="F80" s="14"/>
      <c r="G80" s="14"/>
      <c r="H80" s="14"/>
      <c r="I80" s="14"/>
      <c r="J80" s="14"/>
      <c r="K80" s="14"/>
      <c r="L80" s="29">
        <f t="shared" si="10"/>
        <v>0</v>
      </c>
      <c r="M80" s="25" t="s">
        <v>6</v>
      </c>
    </row>
    <row r="81" spans="1:13" ht="19.5" x14ac:dyDescent="0.35">
      <c r="A81" s="90">
        <f t="shared" si="9"/>
        <v>46102</v>
      </c>
      <c r="B81" t="str">
        <f t="shared" si="6"/>
        <v>Mar</v>
      </c>
      <c r="C81" s="15">
        <v>21</v>
      </c>
      <c r="D81" s="14"/>
      <c r="E81" s="14"/>
      <c r="F81" s="14"/>
      <c r="G81" s="14"/>
      <c r="H81" s="14"/>
      <c r="I81" s="14"/>
      <c r="J81" s="14"/>
      <c r="K81" s="14"/>
      <c r="L81" s="29">
        <f t="shared" si="10"/>
        <v>0</v>
      </c>
      <c r="M81" s="24" t="s">
        <v>74</v>
      </c>
    </row>
    <row r="82" spans="1:13" ht="19.5" x14ac:dyDescent="0.35">
      <c r="A82" s="90">
        <f t="shared" si="9"/>
        <v>46103</v>
      </c>
      <c r="B82" t="str">
        <f t="shared" si="6"/>
        <v>Mar</v>
      </c>
      <c r="C82" s="16">
        <v>22</v>
      </c>
      <c r="D82" s="14"/>
      <c r="E82" s="14"/>
      <c r="F82" s="14"/>
      <c r="G82" s="14"/>
      <c r="H82" s="14"/>
      <c r="I82" s="14"/>
      <c r="J82" s="14"/>
      <c r="K82" s="14"/>
      <c r="L82" s="29">
        <f t="shared" si="10"/>
        <v>0</v>
      </c>
      <c r="M82" s="43" t="s">
        <v>74</v>
      </c>
    </row>
    <row r="83" spans="1:13" ht="18.75" x14ac:dyDescent="0.3">
      <c r="A83" s="90">
        <f t="shared" si="9"/>
        <v>46104</v>
      </c>
      <c r="B83" t="str">
        <f t="shared" si="6"/>
        <v>Mar</v>
      </c>
      <c r="C83" s="18">
        <v>23</v>
      </c>
      <c r="D83" s="14"/>
      <c r="E83" s="14"/>
      <c r="F83" s="14"/>
      <c r="G83" s="14"/>
      <c r="H83" s="14"/>
      <c r="I83" s="14"/>
      <c r="J83" s="14"/>
      <c r="K83" s="14"/>
      <c r="L83" s="29">
        <f t="shared" si="10"/>
        <v>0</v>
      </c>
      <c r="M83" s="49" t="s">
        <v>74</v>
      </c>
    </row>
    <row r="84" spans="1:13" ht="19.5" x14ac:dyDescent="0.35">
      <c r="A84" s="90">
        <f t="shared" si="9"/>
        <v>46105</v>
      </c>
      <c r="B84" t="str">
        <f t="shared" si="6"/>
        <v>Mar</v>
      </c>
      <c r="C84" s="18">
        <v>24</v>
      </c>
      <c r="D84" s="14"/>
      <c r="E84" s="14">
        <v>10480</v>
      </c>
      <c r="F84" s="14"/>
      <c r="G84" s="14"/>
      <c r="H84" s="14"/>
      <c r="I84" s="14"/>
      <c r="J84" s="14"/>
      <c r="K84" s="14"/>
      <c r="L84" s="29">
        <f t="shared" si="10"/>
        <v>10480</v>
      </c>
      <c r="M84" s="26"/>
    </row>
    <row r="85" spans="1:13" ht="19.5" x14ac:dyDescent="0.35">
      <c r="A85" s="90">
        <f t="shared" si="9"/>
        <v>46106</v>
      </c>
      <c r="B85" t="str">
        <f t="shared" si="6"/>
        <v>Mar</v>
      </c>
      <c r="C85" s="18">
        <v>25</v>
      </c>
      <c r="D85" s="14"/>
      <c r="E85" s="14">
        <v>6272</v>
      </c>
      <c r="F85" s="14"/>
      <c r="G85" s="14"/>
      <c r="H85" s="14"/>
      <c r="I85" s="14"/>
      <c r="J85" s="14"/>
      <c r="K85" s="14"/>
      <c r="L85" s="29">
        <f t="shared" si="10"/>
        <v>6272</v>
      </c>
      <c r="M85" s="26"/>
    </row>
    <row r="86" spans="1:13" ht="19.5" x14ac:dyDescent="0.35">
      <c r="A86" s="90">
        <f t="shared" si="9"/>
        <v>46107</v>
      </c>
      <c r="B86" t="str">
        <f t="shared" si="6"/>
        <v>Mar</v>
      </c>
      <c r="C86" s="18">
        <v>26</v>
      </c>
      <c r="D86" s="14"/>
      <c r="E86" s="14"/>
      <c r="F86" s="14">
        <v>6912</v>
      </c>
      <c r="G86" s="14"/>
      <c r="H86" s="14"/>
      <c r="I86" s="14"/>
      <c r="J86" s="14"/>
      <c r="K86" s="14"/>
      <c r="L86" s="29">
        <f t="shared" si="10"/>
        <v>6912</v>
      </c>
      <c r="M86" s="25"/>
    </row>
    <row r="87" spans="1:13" ht="19.5" x14ac:dyDescent="0.35">
      <c r="A87" s="90">
        <f t="shared" si="9"/>
        <v>46108</v>
      </c>
      <c r="B87" t="str">
        <f t="shared" si="6"/>
        <v>Mar</v>
      </c>
      <c r="C87" s="18">
        <v>27</v>
      </c>
      <c r="D87" s="14"/>
      <c r="E87" s="14"/>
      <c r="F87" s="14"/>
      <c r="G87" s="14"/>
      <c r="H87" s="14"/>
      <c r="I87" s="14"/>
      <c r="J87" s="14"/>
      <c r="K87" s="14"/>
      <c r="L87" s="29">
        <f t="shared" si="10"/>
        <v>0</v>
      </c>
      <c r="M87" s="24" t="s">
        <v>6</v>
      </c>
    </row>
    <row r="88" spans="1:13" ht="19.5" x14ac:dyDescent="0.35">
      <c r="A88" s="90">
        <f t="shared" si="9"/>
        <v>46109</v>
      </c>
      <c r="B88" t="str">
        <f t="shared" si="6"/>
        <v>Mar</v>
      </c>
      <c r="C88" s="11">
        <v>28</v>
      </c>
      <c r="D88" s="14"/>
      <c r="E88" s="14"/>
      <c r="F88" s="14">
        <v>9120</v>
      </c>
      <c r="G88" s="14"/>
      <c r="H88" s="14"/>
      <c r="I88" s="14"/>
      <c r="J88" s="14"/>
      <c r="K88" s="14"/>
      <c r="L88" s="29">
        <f t="shared" si="10"/>
        <v>9120</v>
      </c>
      <c r="M88" s="25"/>
    </row>
    <row r="89" spans="1:13" ht="19.5" x14ac:dyDescent="0.35">
      <c r="A89" s="90">
        <f t="shared" si="9"/>
        <v>46110</v>
      </c>
      <c r="B89" t="str">
        <f t="shared" si="6"/>
        <v>Mar</v>
      </c>
      <c r="C89" s="16">
        <v>29</v>
      </c>
      <c r="D89" s="14"/>
      <c r="E89" s="14"/>
      <c r="F89" s="14">
        <v>9264</v>
      </c>
      <c r="G89" s="14"/>
      <c r="H89" s="14"/>
      <c r="I89" s="14"/>
      <c r="J89" s="14"/>
      <c r="K89" s="14"/>
      <c r="L89" s="29">
        <f t="shared" si="10"/>
        <v>9264</v>
      </c>
      <c r="M89" s="24"/>
    </row>
    <row r="90" spans="1:13" ht="19.5" x14ac:dyDescent="0.35">
      <c r="A90" s="90">
        <f t="shared" si="9"/>
        <v>46111</v>
      </c>
      <c r="B90" t="str">
        <f t="shared" si="6"/>
        <v>Mar</v>
      </c>
      <c r="C90" s="11">
        <v>30</v>
      </c>
      <c r="D90" s="14"/>
      <c r="E90" s="14">
        <v>11440</v>
      </c>
      <c r="F90" s="14"/>
      <c r="G90" s="14"/>
      <c r="H90" s="14"/>
      <c r="I90" s="14"/>
      <c r="J90" s="14"/>
      <c r="K90" s="14"/>
      <c r="L90" s="29">
        <f t="shared" si="10"/>
        <v>11440</v>
      </c>
      <c r="M90" s="24"/>
    </row>
    <row r="91" spans="1:13" ht="20.25" thickBot="1" x14ac:dyDescent="0.4">
      <c r="A91" s="90">
        <f t="shared" si="9"/>
        <v>46112</v>
      </c>
      <c r="B91" t="str">
        <f t="shared" si="6"/>
        <v>Mar</v>
      </c>
      <c r="C91" s="17">
        <v>31</v>
      </c>
      <c r="D91" s="19"/>
      <c r="E91" s="2"/>
      <c r="F91" s="19">
        <v>8124</v>
      </c>
      <c r="G91" s="19"/>
      <c r="H91" s="19"/>
      <c r="I91" s="19"/>
      <c r="J91" s="19"/>
      <c r="K91" s="2"/>
      <c r="L91" s="29">
        <f t="shared" si="10"/>
        <v>8124</v>
      </c>
      <c r="M91" s="27"/>
    </row>
    <row r="92" spans="1:13" ht="20.25" thickTop="1" x14ac:dyDescent="0.35">
      <c r="A92" s="90">
        <f>DATE(2026,4,C92)</f>
        <v>46113</v>
      </c>
      <c r="B92" t="str">
        <f t="shared" si="6"/>
        <v>Apr</v>
      </c>
      <c r="C92" s="10">
        <v>1</v>
      </c>
      <c r="D92" s="12"/>
      <c r="E92" s="2"/>
      <c r="F92" s="13">
        <v>9420</v>
      </c>
      <c r="G92" s="12"/>
      <c r="H92" s="2">
        <v>0</v>
      </c>
      <c r="I92" s="13"/>
      <c r="J92" s="12"/>
      <c r="K92" s="2"/>
      <c r="L92" s="29">
        <f>SUM(D92:K92)</f>
        <v>9420</v>
      </c>
      <c r="M92" s="23"/>
    </row>
    <row r="93" spans="1:13" ht="19.5" x14ac:dyDescent="0.35">
      <c r="A93" s="90">
        <f t="shared" ref="A93:A121" si="13">DATE(2026,4,C93)</f>
        <v>46114</v>
      </c>
      <c r="B93" t="str">
        <f t="shared" si="6"/>
        <v>Apr</v>
      </c>
      <c r="C93" s="15">
        <v>2</v>
      </c>
      <c r="D93" s="14">
        <v>12870</v>
      </c>
      <c r="E93" s="14">
        <v>3040</v>
      </c>
      <c r="F93" s="14"/>
      <c r="G93" s="14"/>
      <c r="H93" s="14"/>
      <c r="I93" s="14"/>
      <c r="J93" s="14"/>
      <c r="K93" s="14"/>
      <c r="L93" s="29">
        <f t="shared" ref="L93:L121" si="14">SUM(D93:K93)</f>
        <v>15910</v>
      </c>
      <c r="M93" s="24"/>
    </row>
    <row r="94" spans="1:13" ht="19.5" x14ac:dyDescent="0.35">
      <c r="A94" s="90">
        <f t="shared" si="13"/>
        <v>46115</v>
      </c>
      <c r="B94" t="str">
        <f t="shared" si="6"/>
        <v>Apr</v>
      </c>
      <c r="C94" s="15">
        <v>3</v>
      </c>
      <c r="D94" s="14"/>
      <c r="E94" s="14"/>
      <c r="F94" s="14"/>
      <c r="G94" s="14"/>
      <c r="H94" s="14"/>
      <c r="I94" s="14"/>
      <c r="J94" s="14"/>
      <c r="K94" s="14"/>
      <c r="L94" s="29">
        <f t="shared" si="14"/>
        <v>0</v>
      </c>
      <c r="M94" s="25" t="s">
        <v>6</v>
      </c>
    </row>
    <row r="95" spans="1:13" ht="19.5" x14ac:dyDescent="0.35">
      <c r="A95" s="90">
        <f t="shared" si="13"/>
        <v>46116</v>
      </c>
      <c r="B95" t="str">
        <f t="shared" si="6"/>
        <v>Apr</v>
      </c>
      <c r="C95" s="15">
        <v>4</v>
      </c>
      <c r="D95" s="14"/>
      <c r="E95" s="14"/>
      <c r="F95" s="14">
        <v>9228</v>
      </c>
      <c r="G95" s="14"/>
      <c r="H95" s="14"/>
      <c r="I95" s="14"/>
      <c r="J95" s="14"/>
      <c r="K95" s="14"/>
      <c r="L95" s="29">
        <f t="shared" si="14"/>
        <v>9228</v>
      </c>
      <c r="M95" s="22"/>
    </row>
    <row r="96" spans="1:13" ht="19.5" x14ac:dyDescent="0.35">
      <c r="A96" s="90">
        <f t="shared" si="13"/>
        <v>46117</v>
      </c>
      <c r="B96" t="str">
        <f t="shared" si="6"/>
        <v>Apr</v>
      </c>
      <c r="C96" s="15">
        <v>5</v>
      </c>
      <c r="D96" s="44"/>
      <c r="E96" s="14"/>
      <c r="F96" s="14">
        <v>9204</v>
      </c>
      <c r="G96" s="14"/>
      <c r="H96" s="14"/>
      <c r="I96" s="14"/>
      <c r="J96" s="14"/>
      <c r="K96" s="14"/>
      <c r="L96" s="29">
        <f t="shared" si="14"/>
        <v>9204</v>
      </c>
      <c r="M96" s="22"/>
    </row>
    <row r="97" spans="1:13" ht="19.5" x14ac:dyDescent="0.35">
      <c r="A97" s="90">
        <f t="shared" si="13"/>
        <v>46118</v>
      </c>
      <c r="B97" t="str">
        <f t="shared" si="6"/>
        <v>Apr</v>
      </c>
      <c r="C97" s="15">
        <v>6</v>
      </c>
      <c r="D97" s="46"/>
      <c r="E97" s="14"/>
      <c r="F97" s="45">
        <v>9540</v>
      </c>
      <c r="G97" s="14"/>
      <c r="H97" s="14"/>
      <c r="I97" s="14"/>
      <c r="J97" s="14"/>
      <c r="K97" s="14"/>
      <c r="L97" s="29">
        <f t="shared" si="14"/>
        <v>9540</v>
      </c>
      <c r="M97" s="22"/>
    </row>
    <row r="98" spans="1:13" ht="19.5" x14ac:dyDescent="0.35">
      <c r="A98" s="90">
        <f t="shared" si="13"/>
        <v>46119</v>
      </c>
      <c r="B98" t="str">
        <f t="shared" ref="B98:B161" si="15">TEXT(A98,"mmm")</f>
        <v>Apr</v>
      </c>
      <c r="C98" s="15">
        <v>7</v>
      </c>
      <c r="D98" s="14"/>
      <c r="E98" s="45">
        <v>6240</v>
      </c>
      <c r="F98" s="14"/>
      <c r="G98" s="14"/>
      <c r="H98" s="14"/>
      <c r="I98" s="14"/>
      <c r="J98" s="14"/>
      <c r="K98" s="14"/>
      <c r="L98" s="29">
        <f t="shared" si="14"/>
        <v>6240</v>
      </c>
      <c r="M98" s="22"/>
    </row>
    <row r="99" spans="1:13" ht="19.5" x14ac:dyDescent="0.35">
      <c r="A99" s="90">
        <f t="shared" si="13"/>
        <v>46120</v>
      </c>
      <c r="B99" t="str">
        <f t="shared" si="15"/>
        <v>Apr</v>
      </c>
      <c r="C99" s="15">
        <v>8</v>
      </c>
      <c r="D99" s="44"/>
      <c r="E99" s="46"/>
      <c r="F99" s="14">
        <v>4800</v>
      </c>
      <c r="G99" s="14"/>
      <c r="H99" s="14"/>
      <c r="I99" s="14"/>
      <c r="J99" s="14"/>
      <c r="K99" s="14"/>
      <c r="L99" s="29">
        <f t="shared" si="14"/>
        <v>4800</v>
      </c>
      <c r="M99" s="22"/>
    </row>
    <row r="100" spans="1:13" ht="19.5" x14ac:dyDescent="0.35">
      <c r="A100" s="90">
        <f t="shared" si="13"/>
        <v>46121</v>
      </c>
      <c r="B100" t="str">
        <f t="shared" si="15"/>
        <v>Apr</v>
      </c>
      <c r="C100" s="16">
        <v>9</v>
      </c>
      <c r="D100" s="44"/>
      <c r="E100" s="46"/>
      <c r="F100" s="14">
        <v>8640</v>
      </c>
      <c r="G100" s="14"/>
      <c r="H100" s="14"/>
      <c r="I100" s="14"/>
      <c r="J100" s="14"/>
      <c r="K100" s="14"/>
      <c r="L100" s="29">
        <f t="shared" si="14"/>
        <v>8640</v>
      </c>
      <c r="M100" s="24"/>
    </row>
    <row r="101" spans="1:13" ht="19.5" x14ac:dyDescent="0.35">
      <c r="A101" s="90">
        <f t="shared" si="13"/>
        <v>46122</v>
      </c>
      <c r="B101" t="str">
        <f t="shared" si="15"/>
        <v>Apr</v>
      </c>
      <c r="C101" s="11">
        <v>10</v>
      </c>
      <c r="D101" s="14"/>
      <c r="E101" s="14"/>
      <c r="F101" s="14"/>
      <c r="G101" s="14"/>
      <c r="H101" s="14"/>
      <c r="I101" s="14"/>
      <c r="J101" s="14"/>
      <c r="K101" s="14"/>
      <c r="L101" s="29">
        <f t="shared" si="14"/>
        <v>0</v>
      </c>
      <c r="M101" s="24" t="s">
        <v>6</v>
      </c>
    </row>
    <row r="102" spans="1:13" ht="19.5" x14ac:dyDescent="0.35">
      <c r="A102" s="90">
        <f t="shared" si="13"/>
        <v>46123</v>
      </c>
      <c r="B102" t="str">
        <f t="shared" si="15"/>
        <v>Apr</v>
      </c>
      <c r="C102" s="15">
        <v>11</v>
      </c>
      <c r="D102" s="14">
        <v>0</v>
      </c>
      <c r="E102" s="14"/>
      <c r="F102" s="14">
        <v>9300</v>
      </c>
      <c r="G102" s="14"/>
      <c r="H102" s="14"/>
      <c r="I102" s="14"/>
      <c r="J102" s="14"/>
      <c r="K102" s="14"/>
      <c r="L102" s="29">
        <f t="shared" si="14"/>
        <v>9300</v>
      </c>
      <c r="M102" s="25"/>
    </row>
    <row r="103" spans="1:13" ht="19.5" x14ac:dyDescent="0.35">
      <c r="A103" s="90">
        <f t="shared" si="13"/>
        <v>46124</v>
      </c>
      <c r="B103" t="str">
        <f t="shared" si="15"/>
        <v>Apr</v>
      </c>
      <c r="C103" s="16">
        <v>12</v>
      </c>
      <c r="D103" s="14">
        <v>0</v>
      </c>
      <c r="E103" s="14">
        <v>2720</v>
      </c>
      <c r="F103" s="14">
        <v>7200</v>
      </c>
      <c r="G103" s="14"/>
      <c r="H103" s="14"/>
      <c r="I103" s="14"/>
      <c r="J103" s="14"/>
      <c r="K103" s="14"/>
      <c r="L103" s="29">
        <f t="shared" si="14"/>
        <v>9920</v>
      </c>
      <c r="M103" s="24"/>
    </row>
    <row r="104" spans="1:13" ht="19.5" x14ac:dyDescent="0.35">
      <c r="A104" s="90">
        <f t="shared" si="13"/>
        <v>46125</v>
      </c>
      <c r="B104" t="str">
        <f t="shared" si="15"/>
        <v>Apr</v>
      </c>
      <c r="C104" s="11">
        <v>13</v>
      </c>
      <c r="D104" s="14"/>
      <c r="E104" s="14">
        <v>8400</v>
      </c>
      <c r="F104" s="14">
        <v>4800</v>
      </c>
      <c r="G104" s="14"/>
      <c r="H104" s="14"/>
      <c r="I104" s="14"/>
      <c r="J104" s="14"/>
      <c r="K104" s="14"/>
      <c r="L104" s="29">
        <f t="shared" si="14"/>
        <v>13200</v>
      </c>
      <c r="M104" s="24"/>
    </row>
    <row r="105" spans="1:13" ht="19.5" x14ac:dyDescent="0.35">
      <c r="A105" s="90">
        <f t="shared" si="13"/>
        <v>46126</v>
      </c>
      <c r="B105" t="str">
        <f t="shared" si="15"/>
        <v>Apr</v>
      </c>
      <c r="C105" s="15">
        <v>14</v>
      </c>
      <c r="D105" s="14"/>
      <c r="E105" s="14">
        <v>4960</v>
      </c>
      <c r="F105" s="14">
        <v>9048</v>
      </c>
      <c r="G105" s="14"/>
      <c r="H105" s="14"/>
      <c r="I105" s="14"/>
      <c r="J105" s="14"/>
      <c r="K105" s="14"/>
      <c r="L105" s="29">
        <f t="shared" si="14"/>
        <v>14008</v>
      </c>
      <c r="M105" s="40"/>
    </row>
    <row r="106" spans="1:13" ht="19.5" x14ac:dyDescent="0.35">
      <c r="A106" s="90">
        <f t="shared" si="13"/>
        <v>46127</v>
      </c>
      <c r="B106" t="str">
        <f t="shared" si="15"/>
        <v>Apr</v>
      </c>
      <c r="C106" s="15">
        <v>15</v>
      </c>
      <c r="D106" s="14">
        <v>0</v>
      </c>
      <c r="E106" s="14">
        <v>5040</v>
      </c>
      <c r="F106" s="14">
        <v>8460</v>
      </c>
      <c r="G106" s="14"/>
      <c r="H106" s="14"/>
      <c r="I106" s="14"/>
      <c r="J106" s="14"/>
      <c r="K106" s="14"/>
      <c r="L106" s="29">
        <f t="shared" si="14"/>
        <v>13500</v>
      </c>
      <c r="M106" s="24"/>
    </row>
    <row r="107" spans="1:13" ht="18.75" x14ac:dyDescent="0.3">
      <c r="A107" s="90">
        <f t="shared" si="13"/>
        <v>46128</v>
      </c>
      <c r="B107" t="str">
        <f t="shared" si="15"/>
        <v>Apr</v>
      </c>
      <c r="C107" s="15">
        <v>16</v>
      </c>
      <c r="D107" s="14">
        <v>14630</v>
      </c>
      <c r="E107" s="14"/>
      <c r="F107" s="14"/>
      <c r="G107" s="14"/>
      <c r="H107" s="14"/>
      <c r="I107" s="14"/>
      <c r="J107" s="14"/>
      <c r="K107" s="14"/>
      <c r="L107" s="29">
        <f t="shared" si="14"/>
        <v>14630</v>
      </c>
      <c r="M107" s="39"/>
    </row>
    <row r="108" spans="1:13" ht="19.5" x14ac:dyDescent="0.35">
      <c r="A108" s="90">
        <f t="shared" si="13"/>
        <v>46129</v>
      </c>
      <c r="B108" t="str">
        <f t="shared" si="15"/>
        <v>Apr</v>
      </c>
      <c r="C108" s="15">
        <v>17</v>
      </c>
      <c r="D108" s="14"/>
      <c r="E108" s="14"/>
      <c r="F108" s="14"/>
      <c r="G108" s="14"/>
      <c r="H108" s="14"/>
      <c r="I108" s="14"/>
      <c r="J108" s="14"/>
      <c r="K108" s="14"/>
      <c r="L108" s="29">
        <f t="shared" si="14"/>
        <v>0</v>
      </c>
      <c r="M108" s="24" t="s">
        <v>6</v>
      </c>
    </row>
    <row r="109" spans="1:13" ht="19.5" x14ac:dyDescent="0.35">
      <c r="A109" s="90">
        <f t="shared" si="13"/>
        <v>46130</v>
      </c>
      <c r="B109" t="str">
        <f t="shared" si="15"/>
        <v>Apr</v>
      </c>
      <c r="C109" s="16">
        <v>18</v>
      </c>
      <c r="D109" s="14"/>
      <c r="E109" s="14"/>
      <c r="F109" s="14">
        <v>8364</v>
      </c>
      <c r="G109" s="14"/>
      <c r="H109" s="14"/>
      <c r="I109" s="14"/>
      <c r="J109" s="14"/>
      <c r="K109" s="14"/>
      <c r="L109" s="29">
        <f t="shared" si="14"/>
        <v>8364</v>
      </c>
      <c r="M109" s="24"/>
    </row>
    <row r="110" spans="1:13" ht="19.5" x14ac:dyDescent="0.35">
      <c r="A110" s="90">
        <f t="shared" si="13"/>
        <v>46131</v>
      </c>
      <c r="B110" t="str">
        <f t="shared" si="15"/>
        <v>Apr</v>
      </c>
      <c r="C110" s="16">
        <v>19</v>
      </c>
      <c r="D110" s="14"/>
      <c r="E110" s="14"/>
      <c r="F110" s="14">
        <v>9276</v>
      </c>
      <c r="G110" s="14"/>
      <c r="H110" s="14"/>
      <c r="I110" s="14"/>
      <c r="J110" s="14"/>
      <c r="K110" s="14"/>
      <c r="L110" s="29">
        <f t="shared" si="14"/>
        <v>9276</v>
      </c>
      <c r="M110" s="26"/>
    </row>
    <row r="111" spans="1:13" ht="19.5" x14ac:dyDescent="0.35">
      <c r="A111" s="90">
        <f t="shared" si="13"/>
        <v>46132</v>
      </c>
      <c r="B111" t="str">
        <f t="shared" si="15"/>
        <v>Apr</v>
      </c>
      <c r="C111" s="11">
        <v>20</v>
      </c>
      <c r="D111" s="14"/>
      <c r="E111" s="14"/>
      <c r="F111" s="14">
        <v>9300</v>
      </c>
      <c r="G111" s="14"/>
      <c r="H111" s="14"/>
      <c r="I111" s="14"/>
      <c r="J111" s="14"/>
      <c r="K111" s="14"/>
      <c r="L111" s="29">
        <f t="shared" si="14"/>
        <v>9300</v>
      </c>
      <c r="M111" s="25"/>
    </row>
    <row r="112" spans="1:13" ht="19.5" x14ac:dyDescent="0.35">
      <c r="A112" s="90">
        <f t="shared" si="13"/>
        <v>46133</v>
      </c>
      <c r="B112" t="str">
        <f t="shared" si="15"/>
        <v>Apr</v>
      </c>
      <c r="C112" s="15">
        <v>21</v>
      </c>
      <c r="D112" s="14"/>
      <c r="E112" s="14"/>
      <c r="F112" s="14">
        <v>9336</v>
      </c>
      <c r="G112" s="14"/>
      <c r="H112" s="14"/>
      <c r="I112" s="14"/>
      <c r="J112" s="14"/>
      <c r="K112" s="14"/>
      <c r="L112" s="29">
        <f t="shared" si="14"/>
        <v>9336</v>
      </c>
      <c r="M112" s="24"/>
    </row>
    <row r="113" spans="1:13" ht="19.5" x14ac:dyDescent="0.35">
      <c r="A113" s="90">
        <f t="shared" si="13"/>
        <v>46134</v>
      </c>
      <c r="B113" t="str">
        <f t="shared" si="15"/>
        <v>Apr</v>
      </c>
      <c r="C113" s="16">
        <v>22</v>
      </c>
      <c r="D113" s="14"/>
      <c r="E113" s="14">
        <v>9360</v>
      </c>
      <c r="F113" s="14"/>
      <c r="G113" s="14"/>
      <c r="H113" s="14"/>
      <c r="I113" s="14"/>
      <c r="J113" s="14"/>
      <c r="K113" s="14"/>
      <c r="L113" s="29">
        <f t="shared" si="14"/>
        <v>9360</v>
      </c>
      <c r="M113" s="43"/>
    </row>
    <row r="114" spans="1:13" ht="18.75" x14ac:dyDescent="0.3">
      <c r="A114" s="90">
        <f t="shared" si="13"/>
        <v>46135</v>
      </c>
      <c r="B114" t="str">
        <f t="shared" si="15"/>
        <v>Apr</v>
      </c>
      <c r="C114" s="18">
        <v>23</v>
      </c>
      <c r="D114" s="14"/>
      <c r="E114" s="14"/>
      <c r="F114" s="14"/>
      <c r="G114" s="14"/>
      <c r="H114" s="14">
        <v>2844</v>
      </c>
      <c r="I114" s="14"/>
      <c r="J114" s="14"/>
      <c r="K114" s="14"/>
      <c r="L114" s="29">
        <f t="shared" si="14"/>
        <v>2844</v>
      </c>
      <c r="M114" s="41"/>
    </row>
    <row r="115" spans="1:13" ht="19.5" x14ac:dyDescent="0.35">
      <c r="A115" s="90">
        <f t="shared" si="13"/>
        <v>46136</v>
      </c>
      <c r="B115" t="str">
        <f t="shared" si="15"/>
        <v>Apr</v>
      </c>
      <c r="C115" s="18">
        <v>24</v>
      </c>
      <c r="D115" s="14"/>
      <c r="E115" s="14"/>
      <c r="F115" s="14"/>
      <c r="G115" s="14"/>
      <c r="H115" s="14"/>
      <c r="I115" s="14"/>
      <c r="J115" s="14"/>
      <c r="K115" s="14"/>
      <c r="L115" s="29">
        <f t="shared" si="14"/>
        <v>0</v>
      </c>
      <c r="M115" s="26" t="s">
        <v>6</v>
      </c>
    </row>
    <row r="116" spans="1:13" ht="19.5" x14ac:dyDescent="0.35">
      <c r="A116" s="90">
        <f t="shared" si="13"/>
        <v>46137</v>
      </c>
      <c r="B116" t="str">
        <f t="shared" si="15"/>
        <v>Apr</v>
      </c>
      <c r="C116" s="18">
        <v>25</v>
      </c>
      <c r="D116" s="14"/>
      <c r="E116" s="14">
        <v>3040</v>
      </c>
      <c r="F116" s="14">
        <v>9456</v>
      </c>
      <c r="G116" s="14"/>
      <c r="H116" s="14"/>
      <c r="I116" s="14"/>
      <c r="J116" s="14"/>
      <c r="K116" s="14"/>
      <c r="L116" s="29">
        <f t="shared" si="14"/>
        <v>12496</v>
      </c>
      <c r="M116" s="26"/>
    </row>
    <row r="117" spans="1:13" ht="19.5" x14ac:dyDescent="0.35">
      <c r="A117" s="90">
        <f t="shared" si="13"/>
        <v>46138</v>
      </c>
      <c r="B117" t="str">
        <f t="shared" si="15"/>
        <v>Apr</v>
      </c>
      <c r="C117" s="18">
        <v>26</v>
      </c>
      <c r="D117" s="14"/>
      <c r="E117" s="14">
        <v>2304</v>
      </c>
      <c r="F117" s="14">
        <v>8184</v>
      </c>
      <c r="G117" s="14"/>
      <c r="H117" s="14"/>
      <c r="I117" s="14"/>
      <c r="J117" s="14"/>
      <c r="K117" s="14"/>
      <c r="L117" s="29">
        <f t="shared" si="14"/>
        <v>10488</v>
      </c>
      <c r="M117" s="25"/>
    </row>
    <row r="118" spans="1:13" ht="19.5" x14ac:dyDescent="0.35">
      <c r="A118" s="90">
        <f t="shared" si="13"/>
        <v>46139</v>
      </c>
      <c r="B118" t="str">
        <f t="shared" si="15"/>
        <v>Apr</v>
      </c>
      <c r="C118" s="18">
        <v>27</v>
      </c>
      <c r="D118" s="14"/>
      <c r="E118" s="14"/>
      <c r="F118" s="14">
        <v>9336</v>
      </c>
      <c r="G118" s="14"/>
      <c r="H118" s="14"/>
      <c r="I118" s="14"/>
      <c r="J118" s="14"/>
      <c r="K118" s="14"/>
      <c r="L118" s="29">
        <f t="shared" si="14"/>
        <v>9336</v>
      </c>
      <c r="M118" s="24"/>
    </row>
    <row r="119" spans="1:13" ht="19.5" x14ac:dyDescent="0.35">
      <c r="A119" s="90">
        <f t="shared" si="13"/>
        <v>46140</v>
      </c>
      <c r="B119" t="str">
        <f t="shared" si="15"/>
        <v>Apr</v>
      </c>
      <c r="C119" s="11">
        <v>28</v>
      </c>
      <c r="D119" s="14"/>
      <c r="E119" s="14">
        <v>3360</v>
      </c>
      <c r="F119" s="14">
        <v>10344</v>
      </c>
      <c r="G119" s="14"/>
      <c r="H119" s="14"/>
      <c r="I119" s="14"/>
      <c r="J119" s="14"/>
      <c r="K119" s="14"/>
      <c r="L119" s="29">
        <f t="shared" si="14"/>
        <v>13704</v>
      </c>
      <c r="M119" s="25"/>
    </row>
    <row r="120" spans="1:13" ht="19.5" x14ac:dyDescent="0.35">
      <c r="A120" s="90">
        <f t="shared" si="13"/>
        <v>46141</v>
      </c>
      <c r="B120" t="str">
        <f t="shared" si="15"/>
        <v>Apr</v>
      </c>
      <c r="C120" s="16">
        <v>29</v>
      </c>
      <c r="D120" s="14"/>
      <c r="E120" s="14">
        <v>3072</v>
      </c>
      <c r="F120" s="14">
        <v>8148</v>
      </c>
      <c r="G120" s="14"/>
      <c r="H120" s="14"/>
      <c r="I120" s="14"/>
      <c r="J120" s="14"/>
      <c r="K120" s="14"/>
      <c r="L120" s="29">
        <f t="shared" si="14"/>
        <v>11220</v>
      </c>
      <c r="M120" s="24"/>
    </row>
    <row r="121" spans="1:13" ht="20.25" thickBot="1" x14ac:dyDescent="0.4">
      <c r="A121" s="90">
        <f t="shared" si="13"/>
        <v>46142</v>
      </c>
      <c r="B121" t="str">
        <f t="shared" si="15"/>
        <v>Apr</v>
      </c>
      <c r="C121" s="11">
        <v>30</v>
      </c>
      <c r="D121" s="14"/>
      <c r="E121" s="14"/>
      <c r="F121" s="14"/>
      <c r="G121" s="14"/>
      <c r="H121" s="14">
        <v>5820</v>
      </c>
      <c r="I121" s="14"/>
      <c r="J121" s="14"/>
      <c r="K121" s="14"/>
      <c r="L121" s="29">
        <f t="shared" si="14"/>
        <v>5820</v>
      </c>
      <c r="M121" s="24"/>
    </row>
    <row r="122" spans="1:13" ht="20.25" thickTop="1" x14ac:dyDescent="0.35">
      <c r="A122" s="90">
        <f>DATE(2026,5,C122)</f>
        <v>46143</v>
      </c>
      <c r="B122" t="str">
        <f t="shared" si="15"/>
        <v>May</v>
      </c>
      <c r="C122" s="10">
        <v>1</v>
      </c>
      <c r="D122" s="12"/>
      <c r="E122" s="2"/>
      <c r="F122" s="13"/>
      <c r="G122" s="12"/>
      <c r="H122" s="2"/>
      <c r="I122" s="13"/>
      <c r="J122" s="12"/>
      <c r="K122" s="2"/>
      <c r="L122" s="29">
        <f>SUM(D122:K122)</f>
        <v>0</v>
      </c>
      <c r="M122" s="23" t="s">
        <v>6</v>
      </c>
    </row>
    <row r="123" spans="1:13" ht="19.5" x14ac:dyDescent="0.35">
      <c r="A123" s="90">
        <f t="shared" ref="A123:A152" si="16">DATE(2026,5,C123)</f>
        <v>46144</v>
      </c>
      <c r="B123" t="str">
        <f t="shared" si="15"/>
        <v>May</v>
      </c>
      <c r="C123" s="15">
        <v>2</v>
      </c>
      <c r="D123" s="14"/>
      <c r="E123" s="14">
        <v>3056</v>
      </c>
      <c r="F123" s="14">
        <v>9516</v>
      </c>
      <c r="G123" s="14"/>
      <c r="H123" s="14"/>
      <c r="I123" s="14"/>
      <c r="J123" s="14"/>
      <c r="K123" s="14"/>
      <c r="L123" s="29">
        <f>SUM(D123:K123)</f>
        <v>12572</v>
      </c>
      <c r="M123" s="24"/>
    </row>
    <row r="124" spans="1:13" ht="19.5" x14ac:dyDescent="0.35">
      <c r="A124" s="90">
        <f t="shared" si="16"/>
        <v>46145</v>
      </c>
      <c r="B124" t="str">
        <f t="shared" si="15"/>
        <v>May</v>
      </c>
      <c r="C124" s="15">
        <v>3</v>
      </c>
      <c r="D124" s="14"/>
      <c r="E124" s="14">
        <v>3392</v>
      </c>
      <c r="F124" s="14">
        <v>10032</v>
      </c>
      <c r="G124" s="14"/>
      <c r="H124" s="14"/>
      <c r="I124" s="14"/>
      <c r="J124" s="14"/>
      <c r="K124" s="14"/>
      <c r="L124" s="29">
        <f t="shared" ref="L124:L152" si="17">SUM(D124:K124)</f>
        <v>13424</v>
      </c>
      <c r="M124" s="25"/>
    </row>
    <row r="125" spans="1:13" ht="19.5" x14ac:dyDescent="0.35">
      <c r="A125" s="90">
        <f t="shared" si="16"/>
        <v>46146</v>
      </c>
      <c r="B125" t="str">
        <f t="shared" si="15"/>
        <v>May</v>
      </c>
      <c r="C125" s="15">
        <v>4</v>
      </c>
      <c r="D125" s="14"/>
      <c r="E125" s="14">
        <v>3168</v>
      </c>
      <c r="F125" s="14">
        <v>9396</v>
      </c>
      <c r="G125" s="14"/>
      <c r="H125" s="14"/>
      <c r="I125" s="14"/>
      <c r="J125" s="14"/>
      <c r="K125" s="14"/>
      <c r="L125" s="29">
        <f t="shared" si="17"/>
        <v>12564</v>
      </c>
      <c r="M125" s="22"/>
    </row>
    <row r="126" spans="1:13" ht="19.5" x14ac:dyDescent="0.35">
      <c r="A126" s="90">
        <f t="shared" si="16"/>
        <v>46147</v>
      </c>
      <c r="B126" t="str">
        <f t="shared" si="15"/>
        <v>May</v>
      </c>
      <c r="C126" s="15">
        <v>5</v>
      </c>
      <c r="D126" s="44"/>
      <c r="E126" s="14">
        <v>3040</v>
      </c>
      <c r="F126" s="14">
        <v>9240</v>
      </c>
      <c r="G126" s="14"/>
      <c r="H126" s="14"/>
      <c r="I126" s="14"/>
      <c r="J126" s="14"/>
      <c r="K126" s="14"/>
      <c r="L126" s="29">
        <f t="shared" si="17"/>
        <v>12280</v>
      </c>
      <c r="M126" s="22"/>
    </row>
    <row r="127" spans="1:13" ht="19.5" x14ac:dyDescent="0.35">
      <c r="A127" s="90">
        <f t="shared" si="16"/>
        <v>46148</v>
      </c>
      <c r="B127" t="str">
        <f t="shared" si="15"/>
        <v>May</v>
      </c>
      <c r="C127" s="15">
        <v>6</v>
      </c>
      <c r="D127" s="46"/>
      <c r="E127" s="14">
        <v>3168</v>
      </c>
      <c r="F127" s="45">
        <v>7944</v>
      </c>
      <c r="G127" s="14"/>
      <c r="H127" s="14"/>
      <c r="I127" s="14"/>
      <c r="J127" s="14"/>
      <c r="K127" s="14"/>
      <c r="L127" s="29">
        <f t="shared" si="17"/>
        <v>11112</v>
      </c>
      <c r="M127" s="22"/>
    </row>
    <row r="128" spans="1:13" ht="19.5" x14ac:dyDescent="0.35">
      <c r="A128" s="90">
        <f t="shared" si="16"/>
        <v>46149</v>
      </c>
      <c r="B128" t="str">
        <f t="shared" si="15"/>
        <v>May</v>
      </c>
      <c r="C128" s="15">
        <v>7</v>
      </c>
      <c r="D128" s="14">
        <v>15070</v>
      </c>
      <c r="E128" s="45"/>
      <c r="F128" s="14"/>
      <c r="G128" s="14"/>
      <c r="H128" s="14"/>
      <c r="I128" s="14"/>
      <c r="J128" s="14"/>
      <c r="K128" s="14"/>
      <c r="L128" s="29">
        <f t="shared" si="17"/>
        <v>15070</v>
      </c>
      <c r="M128" s="22"/>
    </row>
    <row r="129" spans="1:13" ht="19.5" x14ac:dyDescent="0.35">
      <c r="A129" s="90">
        <f t="shared" si="16"/>
        <v>46150</v>
      </c>
      <c r="B129" t="str">
        <f t="shared" si="15"/>
        <v>May</v>
      </c>
      <c r="C129" s="15">
        <v>8</v>
      </c>
      <c r="D129" s="44"/>
      <c r="E129" s="46"/>
      <c r="F129" s="14"/>
      <c r="G129" s="14"/>
      <c r="H129" s="14"/>
      <c r="I129" s="14"/>
      <c r="J129" s="14"/>
      <c r="K129" s="14"/>
      <c r="L129" s="29">
        <f t="shared" si="17"/>
        <v>0</v>
      </c>
      <c r="M129" s="22" t="s">
        <v>6</v>
      </c>
    </row>
    <row r="130" spans="1:13" ht="19.5" x14ac:dyDescent="0.35">
      <c r="A130" s="90">
        <f t="shared" si="16"/>
        <v>46151</v>
      </c>
      <c r="B130" t="str">
        <f t="shared" si="15"/>
        <v>May</v>
      </c>
      <c r="C130" s="16">
        <v>9</v>
      </c>
      <c r="D130" s="44"/>
      <c r="E130" s="46">
        <v>3536</v>
      </c>
      <c r="F130" s="14">
        <v>10416</v>
      </c>
      <c r="G130" s="14"/>
      <c r="H130" s="14"/>
      <c r="I130" s="14"/>
      <c r="J130" s="14"/>
      <c r="K130" s="14"/>
      <c r="L130" s="29">
        <f t="shared" si="17"/>
        <v>13952</v>
      </c>
      <c r="M130" s="24"/>
    </row>
    <row r="131" spans="1:13" ht="19.5" x14ac:dyDescent="0.35">
      <c r="A131" s="90">
        <f t="shared" si="16"/>
        <v>46152</v>
      </c>
      <c r="B131" t="str">
        <f t="shared" si="15"/>
        <v>May</v>
      </c>
      <c r="C131" s="11">
        <v>10</v>
      </c>
      <c r="D131" s="14"/>
      <c r="E131" s="14">
        <v>1200</v>
      </c>
      <c r="F131" s="14">
        <v>7476</v>
      </c>
      <c r="G131" s="14"/>
      <c r="H131" s="14"/>
      <c r="I131" s="14"/>
      <c r="J131" s="14"/>
      <c r="K131" s="14"/>
      <c r="L131" s="29">
        <f t="shared" si="17"/>
        <v>8676</v>
      </c>
      <c r="M131" s="24"/>
    </row>
    <row r="132" spans="1:13" ht="19.5" x14ac:dyDescent="0.35">
      <c r="A132" s="90">
        <f t="shared" si="16"/>
        <v>46153</v>
      </c>
      <c r="B132" t="str">
        <f t="shared" si="15"/>
        <v>May</v>
      </c>
      <c r="C132" s="15">
        <v>11</v>
      </c>
      <c r="D132" s="14"/>
      <c r="E132" s="14">
        <v>3760</v>
      </c>
      <c r="F132" s="14">
        <v>8988</v>
      </c>
      <c r="G132" s="14"/>
      <c r="H132" s="14"/>
      <c r="I132" s="14"/>
      <c r="J132" s="14"/>
      <c r="K132" s="14"/>
      <c r="L132" s="29">
        <f t="shared" si="17"/>
        <v>12748</v>
      </c>
      <c r="M132" s="25"/>
    </row>
    <row r="133" spans="1:13" ht="19.5" x14ac:dyDescent="0.35">
      <c r="A133" s="90">
        <f t="shared" si="16"/>
        <v>46154</v>
      </c>
      <c r="B133" t="str">
        <f t="shared" si="15"/>
        <v>May</v>
      </c>
      <c r="C133" s="16">
        <v>12</v>
      </c>
      <c r="D133" s="14"/>
      <c r="E133" s="14">
        <v>2752</v>
      </c>
      <c r="F133" s="14">
        <v>9288</v>
      </c>
      <c r="G133" s="14"/>
      <c r="H133" s="14"/>
      <c r="I133" s="14"/>
      <c r="J133" s="14"/>
      <c r="K133" s="14"/>
      <c r="L133" s="29">
        <f t="shared" si="17"/>
        <v>12040</v>
      </c>
      <c r="M133" s="24"/>
    </row>
    <row r="134" spans="1:13" ht="19.5" x14ac:dyDescent="0.35">
      <c r="A134" s="90">
        <f t="shared" si="16"/>
        <v>46155</v>
      </c>
      <c r="B134" t="str">
        <f t="shared" si="15"/>
        <v>May</v>
      </c>
      <c r="C134" s="11">
        <v>13</v>
      </c>
      <c r="D134" s="14"/>
      <c r="E134" s="14">
        <v>4464</v>
      </c>
      <c r="F134" s="14">
        <v>9336</v>
      </c>
      <c r="G134" s="14"/>
      <c r="H134" s="14"/>
      <c r="I134" s="14"/>
      <c r="J134" s="14"/>
      <c r="K134" s="14"/>
      <c r="L134" s="29">
        <f t="shared" si="17"/>
        <v>13800</v>
      </c>
      <c r="M134" s="24"/>
    </row>
    <row r="135" spans="1:13" ht="19.5" x14ac:dyDescent="0.35">
      <c r="A135" s="90">
        <f t="shared" si="16"/>
        <v>46156</v>
      </c>
      <c r="B135" t="str">
        <f t="shared" si="15"/>
        <v>May</v>
      </c>
      <c r="C135" s="15">
        <v>14</v>
      </c>
      <c r="D135" s="14"/>
      <c r="E135" s="14"/>
      <c r="F135" s="14">
        <v>9240</v>
      </c>
      <c r="G135" s="14"/>
      <c r="H135" s="14"/>
      <c r="I135" s="14"/>
      <c r="J135" s="14"/>
      <c r="K135" s="14"/>
      <c r="L135" s="29">
        <f t="shared" si="17"/>
        <v>9240</v>
      </c>
      <c r="M135" s="40"/>
    </row>
    <row r="136" spans="1:13" ht="19.5" x14ac:dyDescent="0.35">
      <c r="A136" s="90">
        <f t="shared" si="16"/>
        <v>46157</v>
      </c>
      <c r="B136" t="str">
        <f t="shared" si="15"/>
        <v>May</v>
      </c>
      <c r="C136" s="15">
        <v>15</v>
      </c>
      <c r="D136" s="14"/>
      <c r="E136" s="14"/>
      <c r="F136" s="14"/>
      <c r="G136" s="14"/>
      <c r="H136" s="14"/>
      <c r="I136" s="14"/>
      <c r="J136" s="14"/>
      <c r="K136" s="14"/>
      <c r="L136" s="29">
        <f t="shared" si="17"/>
        <v>0</v>
      </c>
      <c r="M136" s="24" t="s">
        <v>6</v>
      </c>
    </row>
    <row r="137" spans="1:13" ht="18.75" x14ac:dyDescent="0.3">
      <c r="A137" s="90">
        <f t="shared" si="16"/>
        <v>46158</v>
      </c>
      <c r="B137" t="str">
        <f t="shared" si="15"/>
        <v>May</v>
      </c>
      <c r="C137" s="15">
        <v>16</v>
      </c>
      <c r="D137" s="14"/>
      <c r="E137" s="14">
        <v>4112</v>
      </c>
      <c r="F137" s="14">
        <v>9288</v>
      </c>
      <c r="G137" s="14"/>
      <c r="H137" s="14"/>
      <c r="I137" s="14"/>
      <c r="J137" s="14"/>
      <c r="K137" s="14"/>
      <c r="L137" s="29">
        <f t="shared" si="17"/>
        <v>13400</v>
      </c>
      <c r="M137" s="39"/>
    </row>
    <row r="138" spans="1:13" ht="19.5" x14ac:dyDescent="0.35">
      <c r="A138" s="90">
        <f t="shared" si="16"/>
        <v>46159</v>
      </c>
      <c r="B138" t="str">
        <f t="shared" si="15"/>
        <v>May</v>
      </c>
      <c r="C138" s="15">
        <v>17</v>
      </c>
      <c r="D138" s="14"/>
      <c r="E138" s="14">
        <v>3168</v>
      </c>
      <c r="F138" s="14">
        <v>8268</v>
      </c>
      <c r="G138" s="14"/>
      <c r="H138" s="14"/>
      <c r="I138" s="14"/>
      <c r="J138" s="14"/>
      <c r="K138" s="14"/>
      <c r="L138" s="29">
        <f t="shared" si="17"/>
        <v>11436</v>
      </c>
      <c r="M138" s="24"/>
    </row>
    <row r="139" spans="1:13" ht="19.5" x14ac:dyDescent="0.35">
      <c r="A139" s="90">
        <f t="shared" si="16"/>
        <v>46160</v>
      </c>
      <c r="B139" t="str">
        <f t="shared" si="15"/>
        <v>May</v>
      </c>
      <c r="C139" s="16">
        <v>18</v>
      </c>
      <c r="D139" s="14"/>
      <c r="E139" s="14">
        <v>3504</v>
      </c>
      <c r="F139" s="14">
        <v>7884</v>
      </c>
      <c r="G139" s="14"/>
      <c r="H139" s="14"/>
      <c r="I139" s="14"/>
      <c r="J139" s="14"/>
      <c r="K139" s="14"/>
      <c r="L139" s="29">
        <f t="shared" si="17"/>
        <v>11388</v>
      </c>
      <c r="M139" s="24"/>
    </row>
    <row r="140" spans="1:13" ht="19.5" x14ac:dyDescent="0.35">
      <c r="A140" s="90">
        <f t="shared" si="16"/>
        <v>46161</v>
      </c>
      <c r="B140" t="str">
        <f t="shared" si="15"/>
        <v>May</v>
      </c>
      <c r="C140" s="16">
        <v>19</v>
      </c>
      <c r="D140" s="14"/>
      <c r="E140" s="14">
        <v>3264</v>
      </c>
      <c r="F140" s="14">
        <v>8220</v>
      </c>
      <c r="G140" s="14"/>
      <c r="H140" s="14"/>
      <c r="I140" s="14"/>
      <c r="J140" s="14"/>
      <c r="K140" s="14"/>
      <c r="L140" s="29">
        <f t="shared" si="17"/>
        <v>11484</v>
      </c>
      <c r="M140" s="26"/>
    </row>
    <row r="141" spans="1:13" ht="19.5" x14ac:dyDescent="0.35">
      <c r="A141" s="90">
        <f t="shared" si="16"/>
        <v>46162</v>
      </c>
      <c r="B141" t="str">
        <f t="shared" si="15"/>
        <v>May</v>
      </c>
      <c r="C141" s="11">
        <v>20</v>
      </c>
      <c r="D141" s="14"/>
      <c r="E141" s="14">
        <v>3600</v>
      </c>
      <c r="F141" s="14">
        <v>8244</v>
      </c>
      <c r="G141" s="14"/>
      <c r="H141" s="14"/>
      <c r="I141" s="14"/>
      <c r="J141" s="14"/>
      <c r="K141" s="14"/>
      <c r="L141" s="29">
        <f t="shared" si="17"/>
        <v>11844</v>
      </c>
      <c r="M141" s="25"/>
    </row>
    <row r="142" spans="1:13" ht="19.5" x14ac:dyDescent="0.35">
      <c r="A142" s="90">
        <f t="shared" si="16"/>
        <v>46163</v>
      </c>
      <c r="B142" t="str">
        <f t="shared" si="15"/>
        <v>May</v>
      </c>
      <c r="C142" s="15">
        <v>21</v>
      </c>
      <c r="D142" s="14"/>
      <c r="E142" s="14"/>
      <c r="F142" s="14"/>
      <c r="G142" s="14"/>
      <c r="H142" s="14">
        <v>7332</v>
      </c>
      <c r="I142" s="14"/>
      <c r="J142" s="14"/>
      <c r="K142" s="14"/>
      <c r="L142" s="29">
        <f t="shared" si="17"/>
        <v>7332</v>
      </c>
      <c r="M142" s="24"/>
    </row>
    <row r="143" spans="1:13" ht="19.5" x14ac:dyDescent="0.35">
      <c r="A143" s="90">
        <f t="shared" si="16"/>
        <v>46164</v>
      </c>
      <c r="B143" t="str">
        <f t="shared" si="15"/>
        <v>May</v>
      </c>
      <c r="C143" s="16">
        <v>22</v>
      </c>
      <c r="D143" s="14"/>
      <c r="E143" s="14"/>
      <c r="F143" s="14"/>
      <c r="G143" s="14"/>
      <c r="H143" s="14"/>
      <c r="I143" s="14"/>
      <c r="J143" s="14"/>
      <c r="K143" s="14"/>
      <c r="L143" s="29">
        <f t="shared" si="17"/>
        <v>0</v>
      </c>
      <c r="M143" s="43" t="s">
        <v>6</v>
      </c>
    </row>
    <row r="144" spans="1:13" ht="18.75" x14ac:dyDescent="0.3">
      <c r="A144" s="90">
        <f t="shared" si="16"/>
        <v>46165</v>
      </c>
      <c r="B144" t="str">
        <f t="shared" si="15"/>
        <v>May</v>
      </c>
      <c r="C144" s="18">
        <v>23</v>
      </c>
      <c r="D144" s="14"/>
      <c r="E144" s="14">
        <v>2688</v>
      </c>
      <c r="F144" s="14">
        <v>8220</v>
      </c>
      <c r="G144" s="14"/>
      <c r="H144" s="14"/>
      <c r="I144" s="14"/>
      <c r="J144" s="14"/>
      <c r="K144" s="14"/>
      <c r="L144" s="29">
        <f t="shared" si="17"/>
        <v>10908</v>
      </c>
      <c r="M144" s="41"/>
    </row>
    <row r="145" spans="1:13" ht="19.5" x14ac:dyDescent="0.35">
      <c r="A145" s="90">
        <f t="shared" si="16"/>
        <v>46166</v>
      </c>
      <c r="B145" t="str">
        <f t="shared" si="15"/>
        <v>May</v>
      </c>
      <c r="C145" s="18">
        <v>24</v>
      </c>
      <c r="D145" s="14"/>
      <c r="E145" s="14">
        <v>4560</v>
      </c>
      <c r="F145" s="14">
        <v>9300</v>
      </c>
      <c r="G145" s="14"/>
      <c r="H145" s="14"/>
      <c r="I145" s="14"/>
      <c r="J145" s="14"/>
      <c r="K145" s="14"/>
      <c r="L145" s="29">
        <f t="shared" si="17"/>
        <v>13860</v>
      </c>
      <c r="M145" s="26"/>
    </row>
    <row r="146" spans="1:13" ht="19.5" x14ac:dyDescent="0.35">
      <c r="A146" s="90">
        <f t="shared" si="16"/>
        <v>46167</v>
      </c>
      <c r="B146" t="str">
        <f t="shared" si="15"/>
        <v>May</v>
      </c>
      <c r="C146" s="18">
        <v>25</v>
      </c>
      <c r="D146" s="14">
        <v>16544</v>
      </c>
      <c r="E146" s="14"/>
      <c r="F146" s="14"/>
      <c r="G146" s="14"/>
      <c r="H146" s="14"/>
      <c r="I146" s="14"/>
      <c r="J146" s="14"/>
      <c r="K146" s="14"/>
      <c r="L146" s="29">
        <f t="shared" si="17"/>
        <v>16544</v>
      </c>
      <c r="M146" s="26"/>
    </row>
    <row r="147" spans="1:13" ht="19.5" x14ac:dyDescent="0.35">
      <c r="A147" s="90">
        <f t="shared" si="16"/>
        <v>46168</v>
      </c>
      <c r="B147" t="str">
        <f t="shared" si="15"/>
        <v>May</v>
      </c>
      <c r="C147" s="18">
        <v>26</v>
      </c>
      <c r="D147" s="14"/>
      <c r="E147" s="14"/>
      <c r="F147" s="14"/>
      <c r="G147" s="14"/>
      <c r="H147" s="14"/>
      <c r="I147" s="14"/>
      <c r="J147" s="14"/>
      <c r="K147" s="14"/>
      <c r="L147" s="29">
        <f t="shared" si="17"/>
        <v>0</v>
      </c>
      <c r="M147" s="25" t="s">
        <v>74</v>
      </c>
    </row>
    <row r="148" spans="1:13" ht="19.5" x14ac:dyDescent="0.35">
      <c r="A148" s="90">
        <f t="shared" si="16"/>
        <v>46169</v>
      </c>
      <c r="B148" t="str">
        <f t="shared" si="15"/>
        <v>May</v>
      </c>
      <c r="C148" s="18">
        <v>27</v>
      </c>
      <c r="D148" s="14"/>
      <c r="E148" s="14"/>
      <c r="F148" s="14"/>
      <c r="G148" s="14"/>
      <c r="H148" s="14"/>
      <c r="I148" s="14"/>
      <c r="J148" s="14"/>
      <c r="K148" s="14"/>
      <c r="L148" s="29">
        <f t="shared" si="17"/>
        <v>0</v>
      </c>
      <c r="M148" s="24" t="s">
        <v>74</v>
      </c>
    </row>
    <row r="149" spans="1:13" ht="19.5" x14ac:dyDescent="0.35">
      <c r="A149" s="90">
        <f t="shared" si="16"/>
        <v>46170</v>
      </c>
      <c r="B149" t="str">
        <f t="shared" si="15"/>
        <v>May</v>
      </c>
      <c r="C149" s="11">
        <v>28</v>
      </c>
      <c r="D149" s="14"/>
      <c r="E149" s="14"/>
      <c r="F149" s="14"/>
      <c r="G149" s="14"/>
      <c r="H149" s="14"/>
      <c r="I149" s="14"/>
      <c r="J149" s="14"/>
      <c r="K149" s="14"/>
      <c r="L149" s="29">
        <f t="shared" si="17"/>
        <v>0</v>
      </c>
      <c r="M149" s="25" t="s">
        <v>74</v>
      </c>
    </row>
    <row r="150" spans="1:13" ht="19.5" x14ac:dyDescent="0.35">
      <c r="A150" s="90">
        <f t="shared" si="16"/>
        <v>46171</v>
      </c>
      <c r="B150" t="str">
        <f t="shared" si="15"/>
        <v>May</v>
      </c>
      <c r="C150" s="16">
        <v>29</v>
      </c>
      <c r="D150" s="14"/>
      <c r="E150" s="14"/>
      <c r="F150" s="14"/>
      <c r="G150" s="14"/>
      <c r="H150" s="14"/>
      <c r="I150" s="14"/>
      <c r="J150" s="14"/>
      <c r="K150" s="14"/>
      <c r="L150" s="29">
        <f t="shared" si="17"/>
        <v>0</v>
      </c>
      <c r="M150" s="24" t="s">
        <v>6</v>
      </c>
    </row>
    <row r="151" spans="1:13" ht="19.5" x14ac:dyDescent="0.35">
      <c r="A151" s="90">
        <f t="shared" si="16"/>
        <v>46172</v>
      </c>
      <c r="B151" t="str">
        <f t="shared" si="15"/>
        <v>May</v>
      </c>
      <c r="C151" s="11">
        <v>30</v>
      </c>
      <c r="D151" s="14"/>
      <c r="E151" s="14"/>
      <c r="F151" s="14"/>
      <c r="G151" s="14"/>
      <c r="H151" s="14"/>
      <c r="I151" s="14"/>
      <c r="J151" s="14"/>
      <c r="K151" s="14"/>
      <c r="L151" s="29">
        <f t="shared" si="17"/>
        <v>0</v>
      </c>
      <c r="M151" s="24" t="s">
        <v>74</v>
      </c>
    </row>
    <row r="152" spans="1:13" ht="20.25" thickBot="1" x14ac:dyDescent="0.4">
      <c r="A152" s="90">
        <f t="shared" si="16"/>
        <v>46173</v>
      </c>
      <c r="B152" t="str">
        <f t="shared" si="15"/>
        <v>May</v>
      </c>
      <c r="C152" s="17">
        <v>31</v>
      </c>
      <c r="D152" s="19"/>
      <c r="E152" s="2">
        <v>3200</v>
      </c>
      <c r="F152" s="19">
        <v>9348</v>
      </c>
      <c r="G152" s="19"/>
      <c r="H152" s="19"/>
      <c r="I152" s="19"/>
      <c r="J152" s="19"/>
      <c r="K152" s="2"/>
      <c r="L152" s="29">
        <f t="shared" si="17"/>
        <v>12548</v>
      </c>
      <c r="M152" s="27"/>
    </row>
    <row r="153" spans="1:13" ht="20.25" thickTop="1" x14ac:dyDescent="0.35">
      <c r="A153" s="90">
        <f>DATE(2026,6,C153)</f>
        <v>46174</v>
      </c>
      <c r="B153" t="str">
        <f t="shared" si="15"/>
        <v>Jun</v>
      </c>
      <c r="C153" s="10">
        <v>1</v>
      </c>
      <c r="D153" s="12"/>
      <c r="E153" s="2">
        <v>4640</v>
      </c>
      <c r="F153" s="13">
        <v>9396</v>
      </c>
      <c r="G153" s="12"/>
      <c r="H153" s="2"/>
      <c r="I153" s="13"/>
      <c r="J153" s="12"/>
      <c r="K153" s="2"/>
      <c r="L153" s="29">
        <f>SUM(D153:K153)</f>
        <v>14036</v>
      </c>
      <c r="M153" s="23"/>
    </row>
    <row r="154" spans="1:13" ht="19.5" x14ac:dyDescent="0.35">
      <c r="A154" s="90">
        <f t="shared" ref="A154:A182" si="18">DATE(2026,6,C154)</f>
        <v>46175</v>
      </c>
      <c r="B154" t="str">
        <f t="shared" si="15"/>
        <v>Jun</v>
      </c>
      <c r="C154" s="15">
        <v>2</v>
      </c>
      <c r="D154" s="14"/>
      <c r="E154" s="14"/>
      <c r="F154" s="14">
        <v>9348</v>
      </c>
      <c r="G154" s="14"/>
      <c r="H154" s="14"/>
      <c r="I154" s="14"/>
      <c r="J154" s="14"/>
      <c r="K154" s="14"/>
      <c r="L154" s="29">
        <f t="shared" ref="L154:L182" si="19">SUM(D154:K154)</f>
        <v>9348</v>
      </c>
      <c r="M154" s="24"/>
    </row>
    <row r="155" spans="1:13" ht="19.5" x14ac:dyDescent="0.35">
      <c r="A155" s="90">
        <f t="shared" si="18"/>
        <v>46176</v>
      </c>
      <c r="B155" t="str">
        <f t="shared" si="15"/>
        <v>Jun</v>
      </c>
      <c r="C155" s="15">
        <v>3</v>
      </c>
      <c r="D155" s="14"/>
      <c r="E155" s="14">
        <v>880</v>
      </c>
      <c r="F155" s="14">
        <v>8616</v>
      </c>
      <c r="G155" s="14"/>
      <c r="H155" s="14"/>
      <c r="I155" s="14"/>
      <c r="J155" s="14"/>
      <c r="K155" s="14"/>
      <c r="L155" s="29">
        <f t="shared" si="19"/>
        <v>9496</v>
      </c>
      <c r="M155" s="25"/>
    </row>
    <row r="156" spans="1:13" ht="19.5" x14ac:dyDescent="0.35">
      <c r="A156" s="90">
        <f t="shared" si="18"/>
        <v>46177</v>
      </c>
      <c r="B156" t="str">
        <f t="shared" si="15"/>
        <v>Jun</v>
      </c>
      <c r="C156" s="15">
        <v>4</v>
      </c>
      <c r="D156" s="14"/>
      <c r="E156" s="14"/>
      <c r="F156" s="14">
        <v>9336</v>
      </c>
      <c r="G156" s="14"/>
      <c r="H156" s="14"/>
      <c r="I156" s="14"/>
      <c r="J156" s="14"/>
      <c r="K156" s="14"/>
      <c r="L156" s="29">
        <f t="shared" si="19"/>
        <v>9336</v>
      </c>
      <c r="M156" s="22"/>
    </row>
    <row r="157" spans="1:13" ht="19.5" x14ac:dyDescent="0.35">
      <c r="A157" s="90">
        <f t="shared" si="18"/>
        <v>46178</v>
      </c>
      <c r="B157" t="str">
        <f t="shared" si="15"/>
        <v>Jun</v>
      </c>
      <c r="C157" s="15">
        <v>5</v>
      </c>
      <c r="D157" s="44"/>
      <c r="E157" s="14"/>
      <c r="F157" s="14"/>
      <c r="G157" s="14"/>
      <c r="H157" s="14"/>
      <c r="I157" s="14"/>
      <c r="J157" s="14"/>
      <c r="K157" s="14"/>
      <c r="L157" s="29">
        <f t="shared" si="19"/>
        <v>0</v>
      </c>
      <c r="M157" s="22" t="s">
        <v>6</v>
      </c>
    </row>
    <row r="158" spans="1:13" ht="19.5" x14ac:dyDescent="0.35">
      <c r="A158" s="90">
        <f t="shared" si="18"/>
        <v>46179</v>
      </c>
      <c r="B158" t="str">
        <f t="shared" si="15"/>
        <v>Jun</v>
      </c>
      <c r="C158" s="15">
        <v>6</v>
      </c>
      <c r="D158" s="46"/>
      <c r="E158" s="14">
        <v>4544</v>
      </c>
      <c r="F158" s="45">
        <v>9360</v>
      </c>
      <c r="G158" s="14"/>
      <c r="H158" s="14"/>
      <c r="I158" s="14"/>
      <c r="J158" s="14"/>
      <c r="K158" s="14"/>
      <c r="L158" s="29">
        <f t="shared" si="19"/>
        <v>13904</v>
      </c>
      <c r="M158" s="22"/>
    </row>
    <row r="159" spans="1:13" ht="19.5" x14ac:dyDescent="0.35">
      <c r="A159" s="90">
        <f t="shared" si="18"/>
        <v>46180</v>
      </c>
      <c r="B159" t="str">
        <f t="shared" si="15"/>
        <v>Jun</v>
      </c>
      <c r="C159" s="15">
        <v>7</v>
      </c>
      <c r="D159" s="14"/>
      <c r="E159" s="45"/>
      <c r="F159" s="14">
        <v>9420</v>
      </c>
      <c r="G159" s="14"/>
      <c r="H159" s="14"/>
      <c r="I159" s="14"/>
      <c r="J159" s="14"/>
      <c r="K159" s="14"/>
      <c r="L159" s="29">
        <f t="shared" si="19"/>
        <v>9420</v>
      </c>
      <c r="M159" s="22"/>
    </row>
    <row r="160" spans="1:13" ht="19.5" x14ac:dyDescent="0.35">
      <c r="A160" s="90">
        <f t="shared" si="18"/>
        <v>46181</v>
      </c>
      <c r="B160" t="str">
        <f t="shared" si="15"/>
        <v>Jun</v>
      </c>
      <c r="C160" s="15">
        <v>8</v>
      </c>
      <c r="D160" s="44"/>
      <c r="E160" s="46">
        <v>4752</v>
      </c>
      <c r="F160" s="14">
        <v>10272</v>
      </c>
      <c r="G160" s="14"/>
      <c r="H160" s="14"/>
      <c r="I160" s="14"/>
      <c r="J160" s="14"/>
      <c r="K160" s="14"/>
      <c r="L160" s="29">
        <f t="shared" si="19"/>
        <v>15024</v>
      </c>
      <c r="M160" s="22"/>
    </row>
    <row r="161" spans="1:13" ht="19.5" x14ac:dyDescent="0.35">
      <c r="A161" s="90">
        <f t="shared" si="18"/>
        <v>46182</v>
      </c>
      <c r="B161" t="str">
        <f t="shared" si="15"/>
        <v>Jun</v>
      </c>
      <c r="C161" s="16">
        <v>9</v>
      </c>
      <c r="D161" s="44"/>
      <c r="E161" s="46">
        <v>3168</v>
      </c>
      <c r="F161" s="14">
        <v>9264</v>
      </c>
      <c r="G161" s="14"/>
      <c r="H161" s="14"/>
      <c r="I161" s="14"/>
      <c r="J161" s="14"/>
      <c r="K161" s="14"/>
      <c r="L161" s="29">
        <f t="shared" si="19"/>
        <v>12432</v>
      </c>
      <c r="M161" s="24"/>
    </row>
    <row r="162" spans="1:13" ht="19.5" x14ac:dyDescent="0.35">
      <c r="A162" s="90">
        <f t="shared" si="18"/>
        <v>46183</v>
      </c>
      <c r="B162" t="str">
        <f t="shared" ref="B162:B213" si="20">TEXT(A162,"mmm")</f>
        <v>Jun</v>
      </c>
      <c r="C162" s="11">
        <v>10</v>
      </c>
      <c r="D162" s="14"/>
      <c r="E162" s="14">
        <v>2880</v>
      </c>
      <c r="F162" s="14">
        <v>9240</v>
      </c>
      <c r="G162" s="14"/>
      <c r="H162" s="14"/>
      <c r="I162" s="14"/>
      <c r="J162" s="14"/>
      <c r="K162" s="14"/>
      <c r="L162" s="29">
        <f t="shared" si="19"/>
        <v>12120</v>
      </c>
      <c r="M162" s="24"/>
    </row>
    <row r="163" spans="1:13" ht="19.5" x14ac:dyDescent="0.35">
      <c r="A163" s="90">
        <f t="shared" si="18"/>
        <v>46184</v>
      </c>
      <c r="B163" t="str">
        <f t="shared" si="20"/>
        <v>Jun</v>
      </c>
      <c r="C163" s="15">
        <v>11</v>
      </c>
      <c r="D163" s="14">
        <v>16874</v>
      </c>
      <c r="E163" s="14"/>
      <c r="F163" s="14"/>
      <c r="G163" s="14"/>
      <c r="H163" s="14"/>
      <c r="I163" s="14"/>
      <c r="J163" s="14"/>
      <c r="K163" s="14"/>
      <c r="L163" s="29">
        <f t="shared" si="19"/>
        <v>16874</v>
      </c>
      <c r="M163" s="25"/>
    </row>
    <row r="164" spans="1:13" ht="19.5" x14ac:dyDescent="0.35">
      <c r="A164" s="90">
        <f t="shared" si="18"/>
        <v>46185</v>
      </c>
      <c r="B164" t="str">
        <f t="shared" si="20"/>
        <v>Jun</v>
      </c>
      <c r="C164" s="16">
        <v>12</v>
      </c>
      <c r="D164" s="14"/>
      <c r="E164" s="14"/>
      <c r="F164" s="14"/>
      <c r="G164" s="14"/>
      <c r="H164" s="14"/>
      <c r="I164" s="14"/>
      <c r="J164" s="14"/>
      <c r="K164" s="14"/>
      <c r="L164" s="29">
        <f t="shared" si="19"/>
        <v>0</v>
      </c>
      <c r="M164" s="24" t="s">
        <v>6</v>
      </c>
    </row>
    <row r="165" spans="1:13" ht="19.5" x14ac:dyDescent="0.35">
      <c r="A165" s="90">
        <f t="shared" si="18"/>
        <v>46186</v>
      </c>
      <c r="B165" t="str">
        <f t="shared" si="20"/>
        <v>Jun</v>
      </c>
      <c r="C165" s="11">
        <v>13</v>
      </c>
      <c r="D165" s="14"/>
      <c r="E165" s="14"/>
      <c r="F165" s="14">
        <v>9216</v>
      </c>
      <c r="G165" s="14"/>
      <c r="H165" s="14"/>
      <c r="I165" s="14"/>
      <c r="J165" s="14"/>
      <c r="K165" s="14"/>
      <c r="L165" s="29">
        <f t="shared" si="19"/>
        <v>9216</v>
      </c>
      <c r="M165" s="24"/>
    </row>
    <row r="166" spans="1:13" ht="19.5" x14ac:dyDescent="0.35">
      <c r="A166" s="90">
        <f t="shared" si="18"/>
        <v>46187</v>
      </c>
      <c r="B166" t="str">
        <f t="shared" si="20"/>
        <v>Jun</v>
      </c>
      <c r="C166" s="15">
        <v>14</v>
      </c>
      <c r="D166" s="14"/>
      <c r="E166" s="14">
        <v>3888</v>
      </c>
      <c r="F166" s="14">
        <v>8220</v>
      </c>
      <c r="G166" s="14"/>
      <c r="H166" s="14"/>
      <c r="I166" s="14"/>
      <c r="J166" s="14"/>
      <c r="K166" s="14"/>
      <c r="L166" s="29">
        <f t="shared" si="19"/>
        <v>12108</v>
      </c>
      <c r="M166" s="40"/>
    </row>
    <row r="167" spans="1:13" ht="19.5" x14ac:dyDescent="0.35">
      <c r="A167" s="90">
        <f t="shared" si="18"/>
        <v>46188</v>
      </c>
      <c r="B167" t="str">
        <f t="shared" si="20"/>
        <v>Jun</v>
      </c>
      <c r="C167" s="15">
        <v>15</v>
      </c>
      <c r="D167" s="14"/>
      <c r="E167" s="14">
        <v>5040</v>
      </c>
      <c r="F167" s="14">
        <v>8232</v>
      </c>
      <c r="G167" s="14"/>
      <c r="H167" s="14"/>
      <c r="I167" s="14"/>
      <c r="J167" s="14"/>
      <c r="K167" s="14"/>
      <c r="L167" s="29">
        <f t="shared" si="19"/>
        <v>13272</v>
      </c>
      <c r="M167" s="24"/>
    </row>
    <row r="168" spans="1:13" ht="18.75" x14ac:dyDescent="0.3">
      <c r="A168" s="90">
        <f t="shared" si="18"/>
        <v>46189</v>
      </c>
      <c r="B168" t="str">
        <f t="shared" si="20"/>
        <v>Jun</v>
      </c>
      <c r="C168" s="15">
        <v>16</v>
      </c>
      <c r="D168" s="14"/>
      <c r="E168" s="14">
        <v>4688</v>
      </c>
      <c r="F168" s="14">
        <v>8268</v>
      </c>
      <c r="G168" s="14"/>
      <c r="H168" s="14"/>
      <c r="I168" s="14"/>
      <c r="J168" s="14"/>
      <c r="K168" s="14"/>
      <c r="L168" s="29">
        <f t="shared" si="19"/>
        <v>12956</v>
      </c>
      <c r="M168" s="39"/>
    </row>
    <row r="169" spans="1:13" ht="19.5" x14ac:dyDescent="0.35">
      <c r="A169" s="90">
        <f t="shared" si="18"/>
        <v>46190</v>
      </c>
      <c r="B169" t="str">
        <f t="shared" si="20"/>
        <v>Jun</v>
      </c>
      <c r="C169" s="15">
        <v>17</v>
      </c>
      <c r="D169" s="14"/>
      <c r="E169" s="14">
        <v>1664</v>
      </c>
      <c r="F169" s="14">
        <v>5952</v>
      </c>
      <c r="G169" s="14"/>
      <c r="H169" s="14"/>
      <c r="I169" s="14"/>
      <c r="J169" s="14"/>
      <c r="K169" s="14"/>
      <c r="L169" s="29">
        <f t="shared" si="19"/>
        <v>7616</v>
      </c>
      <c r="M169" s="24"/>
    </row>
    <row r="170" spans="1:13" ht="19.5" x14ac:dyDescent="0.35">
      <c r="A170" s="90">
        <f t="shared" si="18"/>
        <v>46191</v>
      </c>
      <c r="B170" t="str">
        <f t="shared" si="20"/>
        <v>Jun</v>
      </c>
      <c r="C170" s="16">
        <v>18</v>
      </c>
      <c r="D170" s="14">
        <v>15642</v>
      </c>
      <c r="E170" s="14"/>
      <c r="F170" s="14"/>
      <c r="G170" s="14"/>
      <c r="H170" s="14"/>
      <c r="I170" s="14"/>
      <c r="J170" s="14"/>
      <c r="K170" s="14"/>
      <c r="L170" s="29">
        <f t="shared" si="19"/>
        <v>15642</v>
      </c>
      <c r="M170" s="24"/>
    </row>
    <row r="171" spans="1:13" ht="19.5" x14ac:dyDescent="0.35">
      <c r="A171" s="90">
        <f t="shared" si="18"/>
        <v>46192</v>
      </c>
      <c r="B171" t="str">
        <f t="shared" si="20"/>
        <v>Jun</v>
      </c>
      <c r="C171" s="16">
        <v>19</v>
      </c>
      <c r="D171" s="14"/>
      <c r="E171" s="14"/>
      <c r="F171" s="14"/>
      <c r="G171" s="14"/>
      <c r="H171" s="14"/>
      <c r="I171" s="14"/>
      <c r="J171" s="14"/>
      <c r="K171" s="14"/>
      <c r="L171" s="29">
        <f t="shared" si="19"/>
        <v>0</v>
      </c>
      <c r="M171" s="26" t="s">
        <v>6</v>
      </c>
    </row>
    <row r="172" spans="1:13" ht="19.5" x14ac:dyDescent="0.35">
      <c r="A172" s="90">
        <f t="shared" si="18"/>
        <v>46193</v>
      </c>
      <c r="B172" t="str">
        <f t="shared" si="20"/>
        <v>Jun</v>
      </c>
      <c r="C172" s="11">
        <v>20</v>
      </c>
      <c r="D172" s="14"/>
      <c r="E172" s="14">
        <v>5088</v>
      </c>
      <c r="F172" s="14">
        <v>9324</v>
      </c>
      <c r="G172" s="14"/>
      <c r="H172" s="14"/>
      <c r="I172" s="14"/>
      <c r="J172" s="14"/>
      <c r="K172" s="14"/>
      <c r="L172" s="29">
        <f t="shared" si="19"/>
        <v>14412</v>
      </c>
      <c r="M172" s="25"/>
    </row>
    <row r="173" spans="1:13" ht="19.5" x14ac:dyDescent="0.35">
      <c r="A173" s="90">
        <f t="shared" si="18"/>
        <v>46194</v>
      </c>
      <c r="B173" t="str">
        <f t="shared" si="20"/>
        <v>Jun</v>
      </c>
      <c r="C173" s="15">
        <v>21</v>
      </c>
      <c r="D173" s="14"/>
      <c r="E173" s="14">
        <v>4704</v>
      </c>
      <c r="F173" s="14">
        <v>9084</v>
      </c>
      <c r="G173" s="14"/>
      <c r="H173" s="14"/>
      <c r="I173" s="14"/>
      <c r="J173" s="14"/>
      <c r="K173" s="14"/>
      <c r="L173" s="29">
        <f t="shared" si="19"/>
        <v>13788</v>
      </c>
      <c r="M173" s="24"/>
    </row>
    <row r="174" spans="1:13" ht="19.5" x14ac:dyDescent="0.35">
      <c r="A174" s="90">
        <f t="shared" si="18"/>
        <v>46195</v>
      </c>
      <c r="B174" t="str">
        <f t="shared" si="20"/>
        <v>Jun</v>
      </c>
      <c r="C174" s="16">
        <v>22</v>
      </c>
      <c r="D174" s="14"/>
      <c r="E174" s="14">
        <v>5040</v>
      </c>
      <c r="F174" s="14">
        <v>9180</v>
      </c>
      <c r="G174" s="14"/>
      <c r="H174" s="14"/>
      <c r="I174" s="14"/>
      <c r="J174" s="14"/>
      <c r="K174" s="14"/>
      <c r="L174" s="29">
        <f t="shared" si="19"/>
        <v>14220</v>
      </c>
      <c r="M174" s="43"/>
    </row>
    <row r="175" spans="1:13" ht="18.75" x14ac:dyDescent="0.3">
      <c r="A175" s="90">
        <f t="shared" si="18"/>
        <v>46196</v>
      </c>
      <c r="B175" t="str">
        <f t="shared" si="20"/>
        <v>Jun</v>
      </c>
      <c r="C175" s="18">
        <v>23</v>
      </c>
      <c r="D175" s="14"/>
      <c r="E175" s="14">
        <v>4160</v>
      </c>
      <c r="F175" s="14">
        <v>6660</v>
      </c>
      <c r="G175" s="14"/>
      <c r="H175" s="14"/>
      <c r="I175" s="14"/>
      <c r="J175" s="14"/>
      <c r="K175" s="14"/>
      <c r="L175" s="29">
        <f t="shared" si="19"/>
        <v>10820</v>
      </c>
      <c r="M175" s="41"/>
    </row>
    <row r="176" spans="1:13" ht="19.5" x14ac:dyDescent="0.35">
      <c r="A176" s="90">
        <f t="shared" si="18"/>
        <v>46197</v>
      </c>
      <c r="B176" t="str">
        <f t="shared" si="20"/>
        <v>Jun</v>
      </c>
      <c r="C176" s="18">
        <v>24</v>
      </c>
      <c r="D176" s="14"/>
      <c r="E176" s="14">
        <v>4400</v>
      </c>
      <c r="F176" s="14">
        <v>8040</v>
      </c>
      <c r="G176" s="14"/>
      <c r="H176" s="14"/>
      <c r="I176" s="14"/>
      <c r="J176" s="14"/>
      <c r="K176" s="14"/>
      <c r="L176" s="29">
        <f t="shared" si="19"/>
        <v>12440</v>
      </c>
      <c r="M176" s="26"/>
    </row>
    <row r="177" spans="1:13" ht="19.5" x14ac:dyDescent="0.35">
      <c r="A177" s="90">
        <f t="shared" si="18"/>
        <v>46198</v>
      </c>
      <c r="B177" t="str">
        <f t="shared" si="20"/>
        <v>Jun</v>
      </c>
      <c r="C177" s="18">
        <v>25</v>
      </c>
      <c r="D177" s="14"/>
      <c r="E177" s="14"/>
      <c r="F177" s="14">
        <v>9408</v>
      </c>
      <c r="G177" s="14"/>
      <c r="H177" s="14"/>
      <c r="I177" s="14"/>
      <c r="J177" s="14"/>
      <c r="K177" s="14"/>
      <c r="L177" s="29">
        <f t="shared" si="19"/>
        <v>9408</v>
      </c>
      <c r="M177" s="26"/>
    </row>
    <row r="178" spans="1:13" ht="19.5" x14ac:dyDescent="0.35">
      <c r="A178" s="90">
        <f t="shared" si="18"/>
        <v>46199</v>
      </c>
      <c r="B178" t="str">
        <f t="shared" si="20"/>
        <v>Jun</v>
      </c>
      <c r="C178" s="18">
        <v>26</v>
      </c>
      <c r="D178" s="14"/>
      <c r="E178" s="14"/>
      <c r="F178" s="14"/>
      <c r="G178" s="14"/>
      <c r="H178" s="14"/>
      <c r="I178" s="14"/>
      <c r="J178" s="14"/>
      <c r="K178" s="14"/>
      <c r="L178" s="29">
        <f t="shared" si="19"/>
        <v>0</v>
      </c>
      <c r="M178" s="25" t="s">
        <v>6</v>
      </c>
    </row>
    <row r="179" spans="1:13" ht="19.5" x14ac:dyDescent="0.35">
      <c r="A179" s="90">
        <f t="shared" si="18"/>
        <v>46200</v>
      </c>
      <c r="B179" t="str">
        <f t="shared" si="20"/>
        <v>Jun</v>
      </c>
      <c r="C179" s="18">
        <v>27</v>
      </c>
      <c r="D179" s="14"/>
      <c r="E179" s="14">
        <v>4784</v>
      </c>
      <c r="F179" s="14">
        <v>7488</v>
      </c>
      <c r="G179" s="14"/>
      <c r="H179" s="14"/>
      <c r="I179" s="14"/>
      <c r="J179" s="14"/>
      <c r="K179" s="14"/>
      <c r="L179" s="29">
        <f t="shared" si="19"/>
        <v>12272</v>
      </c>
      <c r="M179" s="24"/>
    </row>
    <row r="180" spans="1:13" ht="19.5" x14ac:dyDescent="0.35">
      <c r="A180" s="90">
        <f t="shared" si="18"/>
        <v>46201</v>
      </c>
      <c r="B180" t="str">
        <f t="shared" si="20"/>
        <v>Jun</v>
      </c>
      <c r="C180" s="11">
        <v>28</v>
      </c>
      <c r="D180" s="14"/>
      <c r="E180" s="14"/>
      <c r="F180" s="14">
        <v>9300</v>
      </c>
      <c r="G180" s="14"/>
      <c r="H180" s="14"/>
      <c r="I180" s="14"/>
      <c r="J180" s="14"/>
      <c r="K180" s="14"/>
      <c r="L180" s="29">
        <f t="shared" si="19"/>
        <v>9300</v>
      </c>
      <c r="M180" s="25"/>
    </row>
    <row r="181" spans="1:13" ht="19.5" x14ac:dyDescent="0.35">
      <c r="A181" s="90">
        <f t="shared" si="18"/>
        <v>46202</v>
      </c>
      <c r="B181" t="str">
        <f t="shared" si="20"/>
        <v>Jun</v>
      </c>
      <c r="C181" s="16">
        <v>29</v>
      </c>
      <c r="D181" s="14"/>
      <c r="E181" s="14">
        <v>4912</v>
      </c>
      <c r="F181" s="14">
        <v>8400</v>
      </c>
      <c r="G181" s="14"/>
      <c r="H181" s="14"/>
      <c r="I181" s="14"/>
      <c r="J181" s="14"/>
      <c r="K181" s="14"/>
      <c r="L181" s="29">
        <f t="shared" si="19"/>
        <v>13312</v>
      </c>
      <c r="M181" s="24"/>
    </row>
    <row r="182" spans="1:13" ht="20.25" thickBot="1" x14ac:dyDescent="0.4">
      <c r="A182" s="90">
        <f t="shared" si="18"/>
        <v>46203</v>
      </c>
      <c r="B182" t="str">
        <f t="shared" si="20"/>
        <v>Jun</v>
      </c>
      <c r="C182" s="11">
        <v>30</v>
      </c>
      <c r="D182" s="14"/>
      <c r="E182" s="14">
        <v>4832</v>
      </c>
      <c r="F182" s="14">
        <v>9060</v>
      </c>
      <c r="G182" s="14"/>
      <c r="H182" s="14"/>
      <c r="I182" s="14"/>
      <c r="J182" s="14"/>
      <c r="K182" s="14"/>
      <c r="L182" s="29">
        <f t="shared" si="19"/>
        <v>13892</v>
      </c>
      <c r="M182" s="24"/>
    </row>
    <row r="183" spans="1:13" ht="20.25" thickTop="1" x14ac:dyDescent="0.35">
      <c r="A183" s="90">
        <f>DATE(2026,7,C183)</f>
        <v>46204</v>
      </c>
      <c r="B183" t="str">
        <f t="shared" si="20"/>
        <v>Jul</v>
      </c>
      <c r="C183" s="10">
        <v>1</v>
      </c>
      <c r="D183" s="12"/>
      <c r="E183" s="2">
        <v>4336</v>
      </c>
      <c r="F183" s="13">
        <v>8100</v>
      </c>
      <c r="G183" s="12"/>
      <c r="H183" s="2"/>
      <c r="I183" s="13"/>
      <c r="J183" s="12"/>
      <c r="K183" s="2"/>
      <c r="L183" s="29">
        <f>SUM(D183:K183)</f>
        <v>12436</v>
      </c>
      <c r="M183" s="23"/>
    </row>
    <row r="184" spans="1:13" ht="19.5" x14ac:dyDescent="0.35">
      <c r="A184" s="90">
        <f t="shared" ref="A184:A213" si="21">DATE(2026,7,C184)</f>
        <v>46205</v>
      </c>
      <c r="B184" t="str">
        <f t="shared" si="20"/>
        <v>Jul</v>
      </c>
      <c r="C184" s="15">
        <v>2</v>
      </c>
      <c r="D184" s="14">
        <v>15026</v>
      </c>
      <c r="E184" s="14"/>
      <c r="F184" s="14"/>
      <c r="G184" s="14"/>
      <c r="H184" s="14"/>
      <c r="I184" s="14"/>
      <c r="J184" s="14"/>
      <c r="K184" s="14"/>
      <c r="L184" s="29">
        <f t="shared" ref="L184:L213" si="22">SUM(D184:K184)</f>
        <v>15026</v>
      </c>
      <c r="M184" s="24"/>
    </row>
    <row r="185" spans="1:13" ht="19.5" x14ac:dyDescent="0.35">
      <c r="A185" s="90">
        <f t="shared" si="21"/>
        <v>46206</v>
      </c>
      <c r="B185" t="str">
        <f t="shared" si="20"/>
        <v>Jul</v>
      </c>
      <c r="C185" s="15">
        <v>3</v>
      </c>
      <c r="D185" s="14"/>
      <c r="E185" s="14"/>
      <c r="F185" s="14"/>
      <c r="G185" s="14"/>
      <c r="H185" s="14"/>
      <c r="I185" s="14"/>
      <c r="J185" s="14"/>
      <c r="K185" s="14"/>
      <c r="L185" s="29">
        <f t="shared" si="22"/>
        <v>0</v>
      </c>
      <c r="M185" s="25" t="s">
        <v>6</v>
      </c>
    </row>
    <row r="186" spans="1:13" ht="19.5" x14ac:dyDescent="0.35">
      <c r="A186" s="90">
        <f t="shared" si="21"/>
        <v>46207</v>
      </c>
      <c r="B186" t="str">
        <f t="shared" si="20"/>
        <v>Jul</v>
      </c>
      <c r="C186" s="15">
        <v>4</v>
      </c>
      <c r="D186" s="14"/>
      <c r="E186" s="14"/>
      <c r="F186" s="14">
        <v>9240</v>
      </c>
      <c r="G186" s="14"/>
      <c r="H186" s="14"/>
      <c r="I186" s="14"/>
      <c r="J186" s="14"/>
      <c r="K186" s="14"/>
      <c r="L186" s="29">
        <f t="shared" si="22"/>
        <v>9240</v>
      </c>
      <c r="M186" s="22"/>
    </row>
    <row r="187" spans="1:13" ht="19.5" x14ac:dyDescent="0.35">
      <c r="A187" s="90">
        <f t="shared" si="21"/>
        <v>46208</v>
      </c>
      <c r="B187" t="str">
        <f t="shared" si="20"/>
        <v>Jul</v>
      </c>
      <c r="C187" s="15">
        <v>5</v>
      </c>
      <c r="D187" s="44"/>
      <c r="E187" s="14">
        <v>4352</v>
      </c>
      <c r="F187" s="14">
        <v>9072</v>
      </c>
      <c r="G187" s="14"/>
      <c r="H187" s="14"/>
      <c r="I187" s="14"/>
      <c r="J187" s="14"/>
      <c r="K187" s="14"/>
      <c r="L187" s="29">
        <f t="shared" si="22"/>
        <v>13424</v>
      </c>
      <c r="M187" s="22"/>
    </row>
    <row r="188" spans="1:13" ht="19.5" x14ac:dyDescent="0.35">
      <c r="A188" s="90">
        <f t="shared" si="21"/>
        <v>46209</v>
      </c>
      <c r="B188" t="str">
        <f t="shared" si="20"/>
        <v>Jul</v>
      </c>
      <c r="C188" s="15">
        <v>6</v>
      </c>
      <c r="D188" s="46"/>
      <c r="E188" s="14">
        <v>4560</v>
      </c>
      <c r="F188" s="45">
        <v>8328</v>
      </c>
      <c r="G188" s="14"/>
      <c r="H188" s="14"/>
      <c r="I188" s="14"/>
      <c r="J188" s="14"/>
      <c r="K188" s="14"/>
      <c r="L188" s="29">
        <f t="shared" si="22"/>
        <v>12888</v>
      </c>
      <c r="M188" s="22"/>
    </row>
    <row r="189" spans="1:13" ht="19.5" x14ac:dyDescent="0.35">
      <c r="A189" s="90">
        <f t="shared" si="21"/>
        <v>46210</v>
      </c>
      <c r="B189" t="str">
        <f t="shared" si="20"/>
        <v>Jul</v>
      </c>
      <c r="C189" s="15">
        <v>7</v>
      </c>
      <c r="D189" s="14"/>
      <c r="E189" s="45">
        <v>2720</v>
      </c>
      <c r="F189" s="14">
        <v>7260</v>
      </c>
      <c r="G189" s="14"/>
      <c r="H189" s="14"/>
      <c r="I189" s="14"/>
      <c r="J189" s="14"/>
      <c r="K189" s="14"/>
      <c r="L189" s="29">
        <f t="shared" si="22"/>
        <v>9980</v>
      </c>
      <c r="M189" s="22"/>
    </row>
    <row r="190" spans="1:13" ht="19.5" x14ac:dyDescent="0.35">
      <c r="A190" s="90">
        <f t="shared" si="21"/>
        <v>46211</v>
      </c>
      <c r="B190" t="str">
        <f t="shared" si="20"/>
        <v>Jul</v>
      </c>
      <c r="C190" s="15">
        <v>8</v>
      </c>
      <c r="D190" s="44"/>
      <c r="E190" s="46"/>
      <c r="F190" s="14">
        <v>7920</v>
      </c>
      <c r="G190" s="14"/>
      <c r="H190" s="14"/>
      <c r="I190" s="14"/>
      <c r="J190" s="14"/>
      <c r="K190" s="14"/>
      <c r="L190" s="29">
        <f t="shared" si="22"/>
        <v>7920</v>
      </c>
      <c r="M190" s="22"/>
    </row>
    <row r="191" spans="1:13" ht="19.5" x14ac:dyDescent="0.35">
      <c r="A191" s="90">
        <f t="shared" si="21"/>
        <v>46212</v>
      </c>
      <c r="B191" t="str">
        <f t="shared" si="20"/>
        <v>Jul</v>
      </c>
      <c r="C191" s="16">
        <v>9</v>
      </c>
      <c r="D191" s="44"/>
      <c r="E191" s="46"/>
      <c r="F191" s="14"/>
      <c r="G191" s="14"/>
      <c r="H191" s="14">
        <v>5664</v>
      </c>
      <c r="I191" s="14"/>
      <c r="J191" s="14"/>
      <c r="K191" s="14"/>
      <c r="L191" s="29">
        <f t="shared" si="22"/>
        <v>5664</v>
      </c>
      <c r="M191" s="24"/>
    </row>
    <row r="192" spans="1:13" ht="19.5" x14ac:dyDescent="0.35">
      <c r="A192" s="90">
        <f t="shared" si="21"/>
        <v>46213</v>
      </c>
      <c r="B192" t="str">
        <f t="shared" si="20"/>
        <v>Jul</v>
      </c>
      <c r="C192" s="11">
        <v>10</v>
      </c>
      <c r="D192" s="14"/>
      <c r="E192" s="14"/>
      <c r="F192" s="14"/>
      <c r="G192" s="14"/>
      <c r="H192" s="14"/>
      <c r="I192" s="14"/>
      <c r="J192" s="14"/>
      <c r="K192" s="14"/>
      <c r="L192" s="29">
        <f t="shared" si="22"/>
        <v>0</v>
      </c>
      <c r="M192" s="24" t="s">
        <v>6</v>
      </c>
    </row>
    <row r="193" spans="1:13" ht="19.5" x14ac:dyDescent="0.35">
      <c r="A193" s="90">
        <f t="shared" si="21"/>
        <v>46214</v>
      </c>
      <c r="B193" t="str">
        <f t="shared" si="20"/>
        <v>Jul</v>
      </c>
      <c r="C193" s="15">
        <v>11</v>
      </c>
      <c r="D193" s="14"/>
      <c r="E193" s="14">
        <v>4032</v>
      </c>
      <c r="F193" s="14">
        <v>9120</v>
      </c>
      <c r="G193" s="14"/>
      <c r="H193" s="14"/>
      <c r="I193" s="14"/>
      <c r="J193" s="14"/>
      <c r="K193" s="14"/>
      <c r="L193" s="29">
        <f t="shared" si="22"/>
        <v>13152</v>
      </c>
      <c r="M193" s="25"/>
    </row>
    <row r="194" spans="1:13" ht="19.5" x14ac:dyDescent="0.35">
      <c r="A194" s="90">
        <f t="shared" si="21"/>
        <v>46215</v>
      </c>
      <c r="B194" t="str">
        <f t="shared" si="20"/>
        <v>Jul</v>
      </c>
      <c r="C194" s="16">
        <v>12</v>
      </c>
      <c r="D194" s="14"/>
      <c r="E194" s="14">
        <v>3712</v>
      </c>
      <c r="F194" s="14">
        <v>8100</v>
      </c>
      <c r="G194" s="14"/>
      <c r="H194" s="14"/>
      <c r="I194" s="14"/>
      <c r="J194" s="14"/>
      <c r="K194" s="14"/>
      <c r="L194" s="29">
        <f t="shared" si="22"/>
        <v>11812</v>
      </c>
      <c r="M194" s="24"/>
    </row>
    <row r="195" spans="1:13" ht="19.5" x14ac:dyDescent="0.35">
      <c r="A195" s="90">
        <f t="shared" si="21"/>
        <v>46216</v>
      </c>
      <c r="B195" t="str">
        <f t="shared" si="20"/>
        <v>Jul</v>
      </c>
      <c r="C195" s="11">
        <v>13</v>
      </c>
      <c r="D195" s="14"/>
      <c r="E195" s="14"/>
      <c r="F195" s="14">
        <v>9240</v>
      </c>
      <c r="G195" s="14"/>
      <c r="H195" s="14"/>
      <c r="I195" s="14"/>
      <c r="J195" s="14"/>
      <c r="K195" s="14"/>
      <c r="L195" s="29">
        <f t="shared" si="22"/>
        <v>9240</v>
      </c>
      <c r="M195" s="24"/>
    </row>
    <row r="196" spans="1:13" ht="19.5" x14ac:dyDescent="0.35">
      <c r="A196" s="90">
        <f t="shared" si="21"/>
        <v>46217</v>
      </c>
      <c r="B196" t="str">
        <f t="shared" si="20"/>
        <v>Jul</v>
      </c>
      <c r="C196" s="15">
        <v>14</v>
      </c>
      <c r="D196" s="14"/>
      <c r="E196" s="14">
        <v>2880</v>
      </c>
      <c r="F196" s="14">
        <v>9048</v>
      </c>
      <c r="G196" s="14"/>
      <c r="H196" s="14"/>
      <c r="I196" s="14"/>
      <c r="J196" s="14"/>
      <c r="K196" s="14"/>
      <c r="L196" s="29">
        <f t="shared" si="22"/>
        <v>11928</v>
      </c>
      <c r="M196" s="40"/>
    </row>
    <row r="197" spans="1:13" ht="19.5" x14ac:dyDescent="0.35">
      <c r="A197" s="90">
        <f t="shared" si="21"/>
        <v>46218</v>
      </c>
      <c r="B197" t="str">
        <f t="shared" si="20"/>
        <v>Jul</v>
      </c>
      <c r="C197" s="15">
        <v>15</v>
      </c>
      <c r="D197" s="14"/>
      <c r="E197" s="14">
        <v>3264</v>
      </c>
      <c r="F197" s="14">
        <v>7980</v>
      </c>
      <c r="G197" s="14"/>
      <c r="H197" s="14"/>
      <c r="I197" s="14"/>
      <c r="J197" s="14"/>
      <c r="K197" s="14"/>
      <c r="L197" s="29">
        <f t="shared" si="22"/>
        <v>11244</v>
      </c>
      <c r="M197" s="24"/>
    </row>
    <row r="198" spans="1:13" ht="18.75" x14ac:dyDescent="0.3">
      <c r="A198" s="90">
        <f t="shared" si="21"/>
        <v>46219</v>
      </c>
      <c r="B198" t="str">
        <f t="shared" si="20"/>
        <v>Jul</v>
      </c>
      <c r="C198" s="15">
        <v>16</v>
      </c>
      <c r="D198" s="14"/>
      <c r="E198" s="14"/>
      <c r="F198" s="14"/>
      <c r="G198" s="14"/>
      <c r="H198" s="14">
        <v>4248</v>
      </c>
      <c r="I198" s="14"/>
      <c r="J198" s="14"/>
      <c r="K198" s="14"/>
      <c r="L198" s="29">
        <f t="shared" si="22"/>
        <v>4248</v>
      </c>
      <c r="M198" s="39"/>
    </row>
    <row r="199" spans="1:13" ht="19.5" x14ac:dyDescent="0.35">
      <c r="A199" s="90">
        <f t="shared" si="21"/>
        <v>46220</v>
      </c>
      <c r="B199" t="str">
        <f t="shared" si="20"/>
        <v>Jul</v>
      </c>
      <c r="C199" s="15">
        <v>17</v>
      </c>
      <c r="D199" s="14"/>
      <c r="E199" s="14"/>
      <c r="F199" s="14"/>
      <c r="G199" s="14"/>
      <c r="H199" s="14"/>
      <c r="I199" s="14"/>
      <c r="J199" s="14"/>
      <c r="K199" s="14"/>
      <c r="L199" s="29">
        <f t="shared" si="22"/>
        <v>0</v>
      </c>
      <c r="M199" s="24" t="s">
        <v>6</v>
      </c>
    </row>
    <row r="200" spans="1:13" ht="19.5" x14ac:dyDescent="0.35">
      <c r="A200" s="90">
        <f t="shared" si="21"/>
        <v>46221</v>
      </c>
      <c r="B200" t="str">
        <f t="shared" si="20"/>
        <v>Jul</v>
      </c>
      <c r="C200" s="16">
        <v>18</v>
      </c>
      <c r="D200" s="14"/>
      <c r="E200" s="14">
        <v>3968</v>
      </c>
      <c r="F200" s="14">
        <v>8124</v>
      </c>
      <c r="G200" s="14"/>
      <c r="H200" s="14"/>
      <c r="I200" s="14"/>
      <c r="J200" s="14"/>
      <c r="K200" s="14"/>
      <c r="L200" s="29">
        <f t="shared" si="22"/>
        <v>12092</v>
      </c>
      <c r="M200" s="24"/>
    </row>
    <row r="201" spans="1:13" ht="19.5" x14ac:dyDescent="0.35">
      <c r="A201" s="90">
        <f t="shared" si="21"/>
        <v>46222</v>
      </c>
      <c r="B201" t="str">
        <f t="shared" si="20"/>
        <v>Jul</v>
      </c>
      <c r="C201" s="16">
        <v>19</v>
      </c>
      <c r="D201" s="14"/>
      <c r="E201" s="14"/>
      <c r="F201" s="14">
        <v>8988</v>
      </c>
      <c r="G201" s="14"/>
      <c r="H201" s="14"/>
      <c r="I201" s="14"/>
      <c r="J201" s="14"/>
      <c r="K201" s="14"/>
      <c r="L201" s="29">
        <f t="shared" si="22"/>
        <v>8988</v>
      </c>
      <c r="M201" s="26"/>
    </row>
    <row r="202" spans="1:13" ht="19.5" x14ac:dyDescent="0.35">
      <c r="A202" s="90">
        <f t="shared" si="21"/>
        <v>46223</v>
      </c>
      <c r="B202" t="str">
        <f t="shared" si="20"/>
        <v>Jul</v>
      </c>
      <c r="C202" s="11">
        <v>20</v>
      </c>
      <c r="D202" s="14"/>
      <c r="E202" s="14">
        <v>3072</v>
      </c>
      <c r="F202" s="14">
        <v>6000</v>
      </c>
      <c r="G202" s="14"/>
      <c r="H202" s="14"/>
      <c r="I202" s="14"/>
      <c r="J202" s="14"/>
      <c r="K202" s="14"/>
      <c r="L202" s="29">
        <f t="shared" si="22"/>
        <v>9072</v>
      </c>
      <c r="M202" s="25"/>
    </row>
    <row r="203" spans="1:13" ht="19.5" x14ac:dyDescent="0.35">
      <c r="A203" s="90">
        <f t="shared" si="21"/>
        <v>46224</v>
      </c>
      <c r="B203" t="str">
        <f t="shared" si="20"/>
        <v>Jul</v>
      </c>
      <c r="C203" s="15">
        <v>21</v>
      </c>
      <c r="D203" s="14"/>
      <c r="E203" s="14">
        <v>4160</v>
      </c>
      <c r="F203" s="14">
        <v>4140</v>
      </c>
      <c r="G203" s="14"/>
      <c r="H203" s="14"/>
      <c r="I203" s="14"/>
      <c r="J203" s="14"/>
      <c r="K203" s="14"/>
      <c r="L203" s="29">
        <f t="shared" si="22"/>
        <v>8300</v>
      </c>
      <c r="M203" s="24"/>
    </row>
    <row r="204" spans="1:13" ht="19.5" x14ac:dyDescent="0.35">
      <c r="A204" s="90">
        <f t="shared" si="21"/>
        <v>46225</v>
      </c>
      <c r="B204" t="str">
        <f t="shared" si="20"/>
        <v>Jul</v>
      </c>
      <c r="C204" s="16">
        <v>22</v>
      </c>
      <c r="D204" s="14"/>
      <c r="E204" s="14">
        <v>2432</v>
      </c>
      <c r="F204" s="14">
        <v>7920</v>
      </c>
      <c r="G204" s="14"/>
      <c r="H204" s="14"/>
      <c r="I204" s="14"/>
      <c r="J204" s="14"/>
      <c r="K204" s="14"/>
      <c r="L204" s="29">
        <f t="shared" si="22"/>
        <v>10352</v>
      </c>
      <c r="M204" s="43"/>
    </row>
    <row r="205" spans="1:13" ht="18.75" x14ac:dyDescent="0.3">
      <c r="A205" s="90">
        <f t="shared" si="21"/>
        <v>46226</v>
      </c>
      <c r="B205" t="str">
        <f t="shared" si="20"/>
        <v>Jul</v>
      </c>
      <c r="C205" s="18">
        <v>23</v>
      </c>
      <c r="D205" s="14"/>
      <c r="E205" s="14">
        <v>0</v>
      </c>
      <c r="F205" s="14">
        <v>8268</v>
      </c>
      <c r="G205" s="14"/>
      <c r="H205" s="14"/>
      <c r="I205" s="14"/>
      <c r="J205" s="14"/>
      <c r="K205" s="14"/>
      <c r="L205" s="29">
        <f t="shared" si="22"/>
        <v>8268</v>
      </c>
      <c r="M205" s="41"/>
    </row>
    <row r="206" spans="1:13" ht="19.5" x14ac:dyDescent="0.35">
      <c r="A206" s="90">
        <f t="shared" si="21"/>
        <v>46227</v>
      </c>
      <c r="B206" t="str">
        <f t="shared" si="20"/>
        <v>Jul</v>
      </c>
      <c r="C206" s="18">
        <v>24</v>
      </c>
      <c r="D206" s="14"/>
      <c r="E206" s="14"/>
      <c r="F206" s="14"/>
      <c r="G206" s="14"/>
      <c r="H206" s="14"/>
      <c r="I206" s="14"/>
      <c r="J206" s="14"/>
      <c r="K206" s="14"/>
      <c r="L206" s="29">
        <f t="shared" si="22"/>
        <v>0</v>
      </c>
      <c r="M206" s="26" t="s">
        <v>6</v>
      </c>
    </row>
    <row r="207" spans="1:13" ht="19.5" x14ac:dyDescent="0.35">
      <c r="A207" s="90">
        <f t="shared" si="21"/>
        <v>46228</v>
      </c>
      <c r="B207" t="str">
        <f t="shared" si="20"/>
        <v>Jul</v>
      </c>
      <c r="C207" s="18">
        <v>25</v>
      </c>
      <c r="D207" s="14"/>
      <c r="E207" s="14">
        <v>4208</v>
      </c>
      <c r="F207" s="14">
        <v>8064</v>
      </c>
      <c r="G207" s="14"/>
      <c r="H207" s="14"/>
      <c r="I207" s="14"/>
      <c r="J207" s="14"/>
      <c r="K207" s="14"/>
      <c r="L207" s="29">
        <f t="shared" si="22"/>
        <v>12272</v>
      </c>
      <c r="M207" s="26"/>
    </row>
    <row r="208" spans="1:13" ht="19.5" x14ac:dyDescent="0.35">
      <c r="A208" s="90">
        <f t="shared" si="21"/>
        <v>46229</v>
      </c>
      <c r="B208" t="str">
        <f t="shared" si="20"/>
        <v>Jul</v>
      </c>
      <c r="C208" s="18">
        <v>26</v>
      </c>
      <c r="D208" s="14"/>
      <c r="E208" s="14">
        <v>1440</v>
      </c>
      <c r="F208" s="14">
        <v>8172</v>
      </c>
      <c r="G208" s="14"/>
      <c r="H208" s="14"/>
      <c r="I208" s="14"/>
      <c r="J208" s="14"/>
      <c r="K208" s="14"/>
      <c r="L208" s="29">
        <f t="shared" si="22"/>
        <v>9612</v>
      </c>
      <c r="M208" s="25"/>
    </row>
    <row r="209" spans="1:13" ht="19.5" x14ac:dyDescent="0.35">
      <c r="A209" s="90">
        <f t="shared" si="21"/>
        <v>46230</v>
      </c>
      <c r="B209" t="str">
        <f t="shared" si="20"/>
        <v>Jul</v>
      </c>
      <c r="C209" s="18">
        <v>27</v>
      </c>
      <c r="D209" s="14"/>
      <c r="E209" s="14">
        <v>3328</v>
      </c>
      <c r="F209" s="14">
        <v>8028</v>
      </c>
      <c r="G209" s="14"/>
      <c r="H209" s="14"/>
      <c r="I209" s="14"/>
      <c r="J209" s="14"/>
      <c r="K209" s="14"/>
      <c r="L209" s="29">
        <f t="shared" si="22"/>
        <v>11356</v>
      </c>
      <c r="M209" s="24"/>
    </row>
    <row r="210" spans="1:13" ht="19.5" x14ac:dyDescent="0.35">
      <c r="A210" s="90">
        <f t="shared" si="21"/>
        <v>46231</v>
      </c>
      <c r="B210" t="str">
        <f t="shared" si="20"/>
        <v>Jul</v>
      </c>
      <c r="C210" s="11">
        <v>28</v>
      </c>
      <c r="D210" s="14"/>
      <c r="E210" s="14">
        <v>2256</v>
      </c>
      <c r="F210" s="14">
        <v>8268</v>
      </c>
      <c r="G210" s="14"/>
      <c r="H210" s="14"/>
      <c r="I210" s="14"/>
      <c r="J210" s="14"/>
      <c r="K210" s="14"/>
      <c r="L210" s="29">
        <f t="shared" si="22"/>
        <v>10524</v>
      </c>
      <c r="M210" s="25"/>
    </row>
    <row r="211" spans="1:13" ht="19.5" x14ac:dyDescent="0.35">
      <c r="A211" s="90">
        <f t="shared" si="21"/>
        <v>46232</v>
      </c>
      <c r="B211" t="str">
        <f t="shared" si="20"/>
        <v>Jul</v>
      </c>
      <c r="C211" s="16">
        <v>29</v>
      </c>
      <c r="D211" s="14"/>
      <c r="E211" s="14"/>
      <c r="F211" s="14">
        <v>8028</v>
      </c>
      <c r="G211" s="14"/>
      <c r="H211" s="14"/>
      <c r="I211" s="14"/>
      <c r="J211" s="14"/>
      <c r="K211" s="14"/>
      <c r="L211" s="29">
        <f t="shared" si="22"/>
        <v>8028</v>
      </c>
      <c r="M211" s="24"/>
    </row>
    <row r="212" spans="1:13" ht="19.5" x14ac:dyDescent="0.35">
      <c r="A212" s="90">
        <f t="shared" si="21"/>
        <v>46233</v>
      </c>
      <c r="B212" t="str">
        <f t="shared" si="20"/>
        <v>Jul</v>
      </c>
      <c r="C212" s="11">
        <v>30</v>
      </c>
      <c r="D212" s="14">
        <v>1760</v>
      </c>
      <c r="E212" s="14">
        <v>9184</v>
      </c>
      <c r="F212" s="14"/>
      <c r="G212" s="14"/>
      <c r="H212" s="14"/>
      <c r="I212" s="14"/>
      <c r="J212" s="14"/>
      <c r="K212" s="14"/>
      <c r="L212" s="29">
        <f t="shared" si="22"/>
        <v>10944</v>
      </c>
      <c r="M212" s="24"/>
    </row>
    <row r="213" spans="1:13" ht="20.25" thickBot="1" x14ac:dyDescent="0.4">
      <c r="A213" s="90">
        <f t="shared" si="21"/>
        <v>46234</v>
      </c>
      <c r="B213" t="str">
        <f t="shared" si="20"/>
        <v>Jul</v>
      </c>
      <c r="C213" s="17">
        <v>31</v>
      </c>
      <c r="D213" s="19"/>
      <c r="E213" s="2"/>
      <c r="F213" s="19"/>
      <c r="G213" s="19"/>
      <c r="H213" s="19"/>
      <c r="I213" s="19"/>
      <c r="J213" s="19"/>
      <c r="K213" s="2"/>
      <c r="L213" s="29">
        <f t="shared" si="22"/>
        <v>0</v>
      </c>
      <c r="M213" s="27" t="s">
        <v>6</v>
      </c>
    </row>
    <row r="214" spans="1:13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opLeftCell="A7" zoomScale="75" zoomScaleNormal="75" workbookViewId="0">
      <selection activeCell="D42" sqref="D42"/>
    </sheetView>
  </sheetViews>
  <sheetFormatPr defaultColWidth="15.140625" defaultRowHeight="15" x14ac:dyDescent="0.25"/>
  <sheetData>
    <row r="1" spans="1:12" x14ac:dyDescent="0.25">
      <c r="A1" s="145" t="s">
        <v>130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7"/>
    </row>
    <row r="2" spans="1:12" ht="21" customHeight="1" thickBot="1" x14ac:dyDescent="0.3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50"/>
    </row>
    <row r="3" spans="1:12" ht="15.75" thickBot="1" x14ac:dyDescent="0.3"/>
    <row r="4" spans="1:12" ht="24.75" customHeight="1" thickBot="1" x14ac:dyDescent="0.3">
      <c r="A4" s="151" t="s">
        <v>83</v>
      </c>
      <c r="B4" s="152"/>
      <c r="C4" s="153"/>
      <c r="D4" s="151" t="s">
        <v>109</v>
      </c>
      <c r="E4" s="152"/>
      <c r="F4" s="153"/>
      <c r="G4" s="151" t="s">
        <v>131</v>
      </c>
      <c r="H4" s="152"/>
      <c r="I4" s="153"/>
      <c r="J4" s="151" t="s">
        <v>127</v>
      </c>
      <c r="K4" s="152"/>
      <c r="L4" s="153"/>
    </row>
    <row r="5" spans="1:12" x14ac:dyDescent="0.25">
      <c r="A5" s="154">
        <f>'Master Data'!Q2</f>
        <v>1867724</v>
      </c>
      <c r="B5" s="155"/>
      <c r="C5" s="156"/>
      <c r="D5" s="160">
        <f>'Master Data'!Q3</f>
        <v>171</v>
      </c>
      <c r="E5" s="161"/>
      <c r="F5" s="162"/>
      <c r="G5" s="166">
        <f>'Master Data'!Q3/('Master Data'!Q3+'Master Data'!Q4)</f>
        <v>0.80660377358490565</v>
      </c>
      <c r="H5" s="167"/>
      <c r="I5" s="168"/>
      <c r="J5" s="154">
        <f>'Master Data'!Q2/'Master Data'!Q3</f>
        <v>10922.362573099415</v>
      </c>
      <c r="K5" s="155"/>
      <c r="L5" s="156"/>
    </row>
    <row r="6" spans="1:12" ht="15.75" thickBot="1" x14ac:dyDescent="0.3">
      <c r="A6" s="157"/>
      <c r="B6" s="158"/>
      <c r="C6" s="159"/>
      <c r="D6" s="163"/>
      <c r="E6" s="164"/>
      <c r="F6" s="165"/>
      <c r="G6" s="169"/>
      <c r="H6" s="170"/>
      <c r="I6" s="171"/>
      <c r="J6" s="157"/>
      <c r="K6" s="158"/>
      <c r="L6" s="159"/>
    </row>
  </sheetData>
  <mergeCells count="9">
    <mergeCell ref="A5:C6"/>
    <mergeCell ref="D5:F6"/>
    <mergeCell ref="G5:I6"/>
    <mergeCell ref="J5:L6"/>
    <mergeCell ref="A1:L2"/>
    <mergeCell ref="A4:C4"/>
    <mergeCell ref="D4:F4"/>
    <mergeCell ref="G4:I4"/>
    <mergeCell ref="J4:L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January-26</vt:lpstr>
      <vt:lpstr>February-26</vt:lpstr>
      <vt:lpstr>March-26</vt:lpstr>
      <vt:lpstr>April-26</vt:lpstr>
      <vt:lpstr>May-26</vt:lpstr>
      <vt:lpstr>June-26</vt:lpstr>
      <vt:lpstr>July-26</vt:lpstr>
      <vt:lpstr>Year-2026</vt:lpstr>
      <vt:lpstr>Dashboard</vt:lpstr>
      <vt:lpstr>Master Data</vt:lpstr>
      <vt:lpstr>Portfolio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2026-08-09T06:02:01Z</cp:lastPrinted>
  <dcterms:created xsi:type="dcterms:W3CDTF">2020-01-29T06:52:38Z</dcterms:created>
  <dcterms:modified xsi:type="dcterms:W3CDTF">2026-08-12T14:56:20Z</dcterms:modified>
</cp:coreProperties>
</file>